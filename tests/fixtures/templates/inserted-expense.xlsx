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finance\smrik-fund\tmp\"/>
    </mc:Choice>
  </mc:AlternateContent>
  <xr:revisionPtr revIDLastSave="0" documentId="13_ncr:1_{B4C06745-732C-4262-B8A1-92F08E811385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Review" sheetId="1" r:id="rId1"/>
    <sheet name="Income" sheetId="2" r:id="rId2"/>
    <sheet name="BalanceSheet" sheetId="3" r:id="rId3"/>
    <sheet name="CashFlow" sheetId="4" r:id="rId4"/>
    <sheet name="Assets" sheetId="5" r:id="rId5"/>
    <sheet name="WorkingCapital" sheetId="6" r:id="rId6"/>
    <sheet name="DCF" sheetId="7" r:id="rId7"/>
    <sheet name="Sensitivity" sheetId="8" r:id="rId8"/>
    <sheet name="Inputs" sheetId="9" r:id="rId9"/>
    <sheet name="SavedInputs" sheetId="10" r:id="rId10"/>
    <sheet name="History" sheetId="11" r:id="rId11"/>
    <sheet name="Stub" sheetId="12" r:id="rId12"/>
    <sheet name="Checks" sheetId="13" r:id="rId13"/>
    <sheet name="Evidence" sheetId="14" r:id="rId14"/>
  </sheets>
  <definedNames>
    <definedName name="_smrik_Assets_1">Assets!$A$1</definedName>
    <definedName name="_smrik_Assets_10">Assets!$A$10</definedName>
    <definedName name="_smrik_Assets_11">Assets!$A$11</definedName>
    <definedName name="_smrik_Assets_12">Assets!$A$12</definedName>
    <definedName name="_smrik_Assets_13">Assets!$A$13</definedName>
    <definedName name="_smrik_Assets_14">Assets!$A$14</definedName>
    <definedName name="_smrik_Assets_15">Assets!$A$15</definedName>
    <definedName name="_smrik_Assets_16">Assets!$A$16</definedName>
    <definedName name="_smrik_Assets_17">Assets!$A$17</definedName>
    <definedName name="_smrik_Assets_18">Assets!$A$18</definedName>
    <definedName name="_smrik_Assets_19">Assets!$A$19</definedName>
    <definedName name="_smrik_Assets_2">Assets!$A$2</definedName>
    <definedName name="_smrik_Assets_20">Assets!$A$20</definedName>
    <definedName name="_smrik_Assets_21">Assets!$A$21</definedName>
    <definedName name="_smrik_Assets_22">Assets!$A$22</definedName>
    <definedName name="_smrik_Assets_23">Assets!$A$23</definedName>
    <definedName name="_smrik_Assets_24">Assets!$A$24</definedName>
    <definedName name="_smrik_Assets_3">Assets!$A$3</definedName>
    <definedName name="_smrik_Assets_4">Assets!$A$4</definedName>
    <definedName name="_smrik_Assets_5">Assets!$A$5</definedName>
    <definedName name="_smrik_Assets_6">Assets!$A$6</definedName>
    <definedName name="_smrik_Assets_7">Assets!$A$7</definedName>
    <definedName name="_smrik_Assets_8">Assets!$A$8</definedName>
    <definedName name="_smrik_Assets_9">Assets!$A$9</definedName>
    <definedName name="_smrik_BalanceSheet_1">BalanceSheet!$A$1</definedName>
    <definedName name="_smrik_BalanceSheet_10">BalanceSheet!$A$10</definedName>
    <definedName name="_smrik_BalanceSheet_11">BalanceSheet!$A$11</definedName>
    <definedName name="_smrik_BalanceSheet_12">BalanceSheet!$A$12</definedName>
    <definedName name="_smrik_BalanceSheet_13">BalanceSheet!$A$13</definedName>
    <definedName name="_smrik_BalanceSheet_14">BalanceSheet!$A$14</definedName>
    <definedName name="_smrik_BalanceSheet_15">BalanceSheet!$A$15</definedName>
    <definedName name="_smrik_BalanceSheet_16">BalanceSheet!$A$16</definedName>
    <definedName name="_smrik_BalanceSheet_17">BalanceSheet!$A$17</definedName>
    <definedName name="_smrik_BalanceSheet_18">BalanceSheet!$A$18</definedName>
    <definedName name="_smrik_BalanceSheet_19">BalanceSheet!$A$19</definedName>
    <definedName name="_smrik_BalanceSheet_2">BalanceSheet!$A$2</definedName>
    <definedName name="_smrik_BalanceSheet_20">BalanceSheet!$A$20</definedName>
    <definedName name="_smrik_BalanceSheet_21">BalanceSheet!$A$21</definedName>
    <definedName name="_smrik_BalanceSheet_22">BalanceSheet!$A$22</definedName>
    <definedName name="_smrik_BalanceSheet_23">BalanceSheet!$A$23</definedName>
    <definedName name="_smrik_BalanceSheet_24">BalanceSheet!$A$24</definedName>
    <definedName name="_smrik_BalanceSheet_25">BalanceSheet!$A$25</definedName>
    <definedName name="_smrik_BalanceSheet_26">BalanceSheet!$A$26</definedName>
    <definedName name="_smrik_BalanceSheet_27">BalanceSheet!$A$27</definedName>
    <definedName name="_smrik_BalanceSheet_28">BalanceSheet!$A$28</definedName>
    <definedName name="_smrik_BalanceSheet_29">BalanceSheet!$A$29</definedName>
    <definedName name="_smrik_BalanceSheet_3">BalanceSheet!$A$3</definedName>
    <definedName name="_smrik_BalanceSheet_30">BalanceSheet!$A$30</definedName>
    <definedName name="_smrik_BalanceSheet_31">BalanceSheet!$A$31</definedName>
    <definedName name="_smrik_BalanceSheet_32">BalanceSheet!$A$32</definedName>
    <definedName name="_smrik_BalanceSheet_33">BalanceSheet!$A$33</definedName>
    <definedName name="_smrik_BalanceSheet_34">BalanceSheet!$A$34</definedName>
    <definedName name="_smrik_BalanceSheet_35">BalanceSheet!$A$35</definedName>
    <definedName name="_smrik_BalanceSheet_36">BalanceSheet!$A$36</definedName>
    <definedName name="_smrik_BalanceSheet_37">BalanceSheet!$A$37</definedName>
    <definedName name="_smrik_BalanceSheet_38">BalanceSheet!$A$38</definedName>
    <definedName name="_smrik_BalanceSheet_4">BalanceSheet!$A$4</definedName>
    <definedName name="_smrik_BalanceSheet_5">BalanceSheet!$A$5</definedName>
    <definedName name="_smrik_BalanceSheet_6">BalanceSheet!$A$6</definedName>
    <definedName name="_smrik_BalanceSheet_7">BalanceSheet!$A$7</definedName>
    <definedName name="_smrik_BalanceSheet_8">BalanceSheet!$A$8</definedName>
    <definedName name="_smrik_BalanceSheet_9">BalanceSheet!$A$9</definedName>
    <definedName name="_smrik_CashFlow_1">CashFlow!$A$1</definedName>
    <definedName name="_smrik_CashFlow_10">CashFlow!$A$10</definedName>
    <definedName name="_smrik_CashFlow_11">CashFlow!$A$11</definedName>
    <definedName name="_smrik_CashFlow_12">CashFlow!$A$12</definedName>
    <definedName name="_smrik_CashFlow_13">CashFlow!$A$13</definedName>
    <definedName name="_smrik_CashFlow_14">CashFlow!$A$14</definedName>
    <definedName name="_smrik_CashFlow_15">CashFlow!$A$15</definedName>
    <definedName name="_smrik_CashFlow_16">CashFlow!$A$16</definedName>
    <definedName name="_smrik_CashFlow_17">CashFlow!$A$17</definedName>
    <definedName name="_smrik_CashFlow_18">CashFlow!$A$18</definedName>
    <definedName name="_smrik_CashFlow_19">CashFlow!$A$19</definedName>
    <definedName name="_smrik_CashFlow_2">CashFlow!$A$2</definedName>
    <definedName name="_smrik_CashFlow_20">CashFlow!$A$20</definedName>
    <definedName name="_smrik_CashFlow_21">CashFlow!$A$21</definedName>
    <definedName name="_smrik_CashFlow_22">CashFlow!$A$22</definedName>
    <definedName name="_smrik_CashFlow_23">CashFlow!$A$23</definedName>
    <definedName name="_smrik_CashFlow_24">CashFlow!$A$24</definedName>
    <definedName name="_smrik_CashFlow_25">CashFlow!$A$25</definedName>
    <definedName name="_smrik_CashFlow_26">CashFlow!$A$26</definedName>
    <definedName name="_smrik_CashFlow_27">CashFlow!$A$27</definedName>
    <definedName name="_smrik_CashFlow_28">CashFlow!$A$28</definedName>
    <definedName name="_smrik_CashFlow_29">CashFlow!$A$29</definedName>
    <definedName name="_smrik_CashFlow_3">CashFlow!$A$3</definedName>
    <definedName name="_smrik_CashFlow_30">CashFlow!$A$30</definedName>
    <definedName name="_smrik_CashFlow_31">CashFlow!$A$31</definedName>
    <definedName name="_smrik_CashFlow_32">CashFlow!$A$32</definedName>
    <definedName name="_smrik_CashFlow_33">CashFlow!$A$33</definedName>
    <definedName name="_smrik_CashFlow_34">CashFlow!$A$34</definedName>
    <definedName name="_smrik_CashFlow_35">CashFlow!$A$35</definedName>
    <definedName name="_smrik_CashFlow_4">CashFlow!$A$4</definedName>
    <definedName name="_smrik_CashFlow_5">CashFlow!$A$5</definedName>
    <definedName name="_smrik_CashFlow_6">CashFlow!$A$6</definedName>
    <definedName name="_smrik_CashFlow_7">CashFlow!$A$7</definedName>
    <definedName name="_smrik_CashFlow_8">CashFlow!$A$8</definedName>
    <definedName name="_smrik_CashFlow_9">CashFlow!$A$9</definedName>
    <definedName name="_smrik_Income_1">Income!$A$1</definedName>
    <definedName name="_smrik_Income_10">Income!$A$10</definedName>
    <definedName name="_smrik_Income_11">Income!$A$11</definedName>
    <definedName name="_smrik_Income_12">Income!$A$12</definedName>
    <definedName name="_smrik_Income_13">Income!$A$13</definedName>
    <definedName name="_smrik_Income_14">Income!$A$14</definedName>
    <definedName name="_smrik_Income_15">Income!$A$15</definedName>
    <definedName name="_smrik_Income_16">Income!$A$16</definedName>
    <definedName name="_smrik_Income_17">Income!$A$17</definedName>
    <definedName name="_smrik_Income_18">Income!$A$18</definedName>
    <definedName name="_smrik_Income_19">Income!$A$19</definedName>
    <definedName name="_smrik_Income_2">Income!$A$2</definedName>
    <definedName name="_smrik_Income_20">Income!$A$20</definedName>
    <definedName name="_smrik_Income_21">Income!$A$21</definedName>
    <definedName name="_smrik_Income_22">Income!$A$22</definedName>
    <definedName name="_smrik_Income_23">Income!$A$23</definedName>
    <definedName name="_smrik_Income_24">Income!$A$24</definedName>
    <definedName name="_smrik_Income_25">Income!$A$25</definedName>
    <definedName name="_smrik_Income_26">Income!$A$26</definedName>
    <definedName name="_smrik_Income_27">Income!$A$27</definedName>
    <definedName name="_smrik_Income_28">Income!$A$28</definedName>
    <definedName name="_smrik_Income_29">Income!$A$29</definedName>
    <definedName name="_smrik_Income_3">Income!$A$3</definedName>
    <definedName name="_smrik_Income_30">Income!$A$30</definedName>
    <definedName name="_smrik_Income_31">Income!$A$31</definedName>
    <definedName name="_smrik_Income_32">Income!$A$34</definedName>
    <definedName name="_smrik_Income_33">Income!$A$35</definedName>
    <definedName name="_smrik_Income_34">Income!$A$36</definedName>
    <definedName name="_smrik_Income_35">Income!$A$37</definedName>
    <definedName name="_smrik_Income_36">Income!$A$38</definedName>
    <definedName name="_smrik_Income_37">Income!$A$39</definedName>
    <definedName name="_smrik_Income_38">Income!$A$40</definedName>
    <definedName name="_smrik_Income_39">Income!$A$41</definedName>
    <definedName name="_smrik_Income_4">Income!$A$4</definedName>
    <definedName name="_smrik_Income_40">Income!$A$42</definedName>
    <definedName name="_smrik_Income_41">Income!$A$43</definedName>
    <definedName name="_smrik_Income_42">Income!$A$44</definedName>
    <definedName name="_smrik_Income_43">Income!$A$45</definedName>
    <definedName name="_smrik_Income_44">Income!$A$46</definedName>
    <definedName name="_smrik_Income_45">Income!$A$47</definedName>
    <definedName name="_smrik_Income_46">Income!$A$48</definedName>
    <definedName name="_smrik_Income_47">Income!$A$49</definedName>
    <definedName name="_smrik_Income_48">Income!$A$50</definedName>
    <definedName name="_smrik_Income_49">Income!$A$51</definedName>
    <definedName name="_smrik_Income_5">Income!$A$5</definedName>
    <definedName name="_smrik_Income_50">Income!$A$52</definedName>
    <definedName name="_smrik_Income_51">Income!$A$53</definedName>
    <definedName name="_smrik_Income_52">Income!$A$54</definedName>
    <definedName name="_smrik_Income_53">Income!$A$55</definedName>
    <definedName name="_smrik_Income_54">Income!$A$56</definedName>
    <definedName name="_smrik_Income_55">Income!$A$57</definedName>
    <definedName name="_smrik_Income_56">Income!$A$58</definedName>
    <definedName name="_smrik_Income_57">Income!$A$59</definedName>
    <definedName name="_smrik_Income_6">Income!$A$6</definedName>
    <definedName name="_smrik_Income_7">Income!$A$7</definedName>
    <definedName name="_smrik_Income_8">Income!$A$8</definedName>
    <definedName name="_smrik_Income_9">Income!$A$9</definedName>
    <definedName name="_smrik_Stub_1">Stub!$A$1</definedName>
    <definedName name="_smrik_Stub_10">Stub!$A$10</definedName>
    <definedName name="_smrik_Stub_11">Stub!$A$11</definedName>
    <definedName name="_smrik_Stub_12">Stub!$A$12</definedName>
    <definedName name="_smrik_Stub_13">Stub!$A$13</definedName>
    <definedName name="_smrik_Stub_14">Stub!$A$14</definedName>
    <definedName name="_smrik_Stub_15">Stub!$A$15</definedName>
    <definedName name="_smrik_Stub_16">Stub!$A$16</definedName>
    <definedName name="_smrik_Stub_17">Stub!$A$17</definedName>
    <definedName name="_smrik_Stub_18">Stub!$A$18</definedName>
    <definedName name="_smrik_Stub_19">Stub!$A$19</definedName>
    <definedName name="_smrik_Stub_2">Stub!$A$2</definedName>
    <definedName name="_smrik_Stub_20">Stub!$A$20</definedName>
    <definedName name="_smrik_Stub_21">Stub!$A$21</definedName>
    <definedName name="_smrik_Stub_22">Stub!$A$22</definedName>
    <definedName name="_smrik_Stub_23">Stub!$A$23</definedName>
    <definedName name="_smrik_Stub_24">Stub!$A$24</definedName>
    <definedName name="_smrik_Stub_25">Stub!$A$25</definedName>
    <definedName name="_smrik_Stub_26">Stub!$A$26</definedName>
    <definedName name="_smrik_Stub_27">Stub!$A$27</definedName>
    <definedName name="_smrik_Stub_28">Stub!$A$28</definedName>
    <definedName name="_smrik_Stub_29">Stub!$A$29</definedName>
    <definedName name="_smrik_Stub_3">Stub!$A$3</definedName>
    <definedName name="_smrik_Stub_30">Stub!$A$30</definedName>
    <definedName name="_smrik_Stub_31">Stub!$A$31</definedName>
    <definedName name="_smrik_Stub_32">Stub!$A$32</definedName>
    <definedName name="_smrik_Stub_33">Stub!$A$33</definedName>
    <definedName name="_smrik_Stub_34">Stub!$A$34</definedName>
    <definedName name="_smrik_Stub_35">Stub!$A$35</definedName>
    <definedName name="_smrik_Stub_36">Stub!$A$36</definedName>
    <definedName name="_smrik_Stub_37">Stub!$A$37</definedName>
    <definedName name="_smrik_Stub_38">Stub!$A$38</definedName>
    <definedName name="_smrik_Stub_39">Stub!$A$39</definedName>
    <definedName name="_smrik_Stub_4">Stub!$A$4</definedName>
    <definedName name="_smrik_Stub_40">Stub!$A$40</definedName>
    <definedName name="_smrik_Stub_41">Stub!$A$41</definedName>
    <definedName name="_smrik_Stub_42">Stub!$A$42</definedName>
    <definedName name="_smrik_Stub_43">Stub!$A$43</definedName>
    <definedName name="_smrik_Stub_44">Stub!$A$44</definedName>
    <definedName name="_smrik_Stub_45">Stub!$A$45</definedName>
    <definedName name="_smrik_Stub_46">Stub!$A$46</definedName>
    <definedName name="_smrik_Stub_47">Stub!$A$47</definedName>
    <definedName name="_smrik_Stub_48">Stub!$A$48</definedName>
    <definedName name="_smrik_Stub_49">Stub!$A$49</definedName>
    <definedName name="_smrik_Stub_5">Stub!$A$5</definedName>
    <definedName name="_smrik_Stub_50">Stub!$A$50</definedName>
    <definedName name="_smrik_Stub_51">Stub!$A$51</definedName>
    <definedName name="_smrik_Stub_52">Stub!$A$52</definedName>
    <definedName name="_smrik_Stub_53">Stub!$A$53</definedName>
    <definedName name="_smrik_Stub_54">Stub!$A$54</definedName>
    <definedName name="_smrik_Stub_55">Stub!$A$55</definedName>
    <definedName name="_smrik_Stub_6">Stub!$A$6</definedName>
    <definedName name="_smrik_Stub_7">Stub!$A$7</definedName>
    <definedName name="_smrik_Stub_8">Stub!$A$8</definedName>
    <definedName name="_smrik_Stub_9">Stub!$A$9</definedName>
    <definedName name="_smrik_WorkingCapital_1">WorkingCapital!$A$1</definedName>
    <definedName name="_smrik_WorkingCapital_10">WorkingCapital!$A$10</definedName>
    <definedName name="_smrik_WorkingCapital_11">WorkingCapital!$A$11</definedName>
    <definedName name="_smrik_WorkingCapital_12">WorkingCapital!$A$12</definedName>
    <definedName name="_smrik_WorkingCapital_13">WorkingCapital!$A$13</definedName>
    <definedName name="_smrik_WorkingCapital_14">WorkingCapital!$A$14</definedName>
    <definedName name="_smrik_WorkingCapital_15">WorkingCapital!$A$15</definedName>
    <definedName name="_smrik_WorkingCapital_16">WorkingCapital!$A$16</definedName>
    <definedName name="_smrik_WorkingCapital_17">WorkingCapital!$A$17</definedName>
    <definedName name="_smrik_WorkingCapital_18">WorkingCapital!$A$18</definedName>
    <definedName name="_smrik_WorkingCapital_19">WorkingCapital!$A$19</definedName>
    <definedName name="_smrik_WorkingCapital_2">WorkingCapital!$A$2</definedName>
    <definedName name="_smrik_WorkingCapital_20">WorkingCapital!$A$20</definedName>
    <definedName name="_smrik_WorkingCapital_21">WorkingCapital!$A$21</definedName>
    <definedName name="_smrik_WorkingCapital_22">WorkingCapital!$A$22</definedName>
    <definedName name="_smrik_WorkingCapital_23">WorkingCapital!$A$23</definedName>
    <definedName name="_smrik_WorkingCapital_24">WorkingCapital!$A$24</definedName>
    <definedName name="_smrik_WorkingCapital_25">WorkingCapital!$A$25</definedName>
    <definedName name="_smrik_WorkingCapital_3">WorkingCapital!$A$3</definedName>
    <definedName name="_smrik_WorkingCapital_4">WorkingCapital!$A$4</definedName>
    <definedName name="_smrik_WorkingCapital_5">WorkingCapital!$A$5</definedName>
    <definedName name="_smrik_WorkingCapital_6">WorkingCapital!$A$6</definedName>
    <definedName name="_smrik_WorkingCapital_7">WorkingCapital!$A$7</definedName>
    <definedName name="_smrik_WorkingCapital_8">WorkingCapital!$A$8</definedName>
    <definedName name="_smrik_WorkingCapital_9">WorkingCapital!$A$9</definedName>
    <definedName name="_xlnm.Print_Area" localSheetId="4">Assets!$A$1:$Q$24</definedName>
    <definedName name="_xlnm.Print_Area" localSheetId="2">BalanceSheet!$A$1:$Q$38</definedName>
    <definedName name="_xlnm.Print_Area" localSheetId="3">CashFlow!$A$1:$Q$35</definedName>
    <definedName name="_xlnm.Print_Area" localSheetId="1">Income!$A$1:$Q$59</definedName>
    <definedName name="_xlnm.Print_Area" localSheetId="5">WorkingCapital!$A$1:$Q$25</definedName>
    <definedName name="_xlnm.Print_Titles" localSheetId="4">Assets!$1:$3</definedName>
    <definedName name="_xlnm.Print_Titles" localSheetId="2">BalanceSheet!$1:$3</definedName>
    <definedName name="_xlnm.Print_Titles" localSheetId="3">CashFlow!$1:$3</definedName>
    <definedName name="_xlnm.Print_Titles" localSheetId="12">Checks!$1:$3</definedName>
    <definedName name="_xlnm.Print_Titles" localSheetId="6">DCF!$1:$3</definedName>
    <definedName name="_xlnm.Print_Titles" localSheetId="13">Evidence!$1:$3</definedName>
    <definedName name="_xlnm.Print_Titles" localSheetId="10">History!$1:$3</definedName>
    <definedName name="_xlnm.Print_Titles" localSheetId="1">Income!$1:$3</definedName>
    <definedName name="_xlnm.Print_Titles" localSheetId="8">Inputs!$1:$3</definedName>
    <definedName name="_xlnm.Print_Titles" localSheetId="0">Review!$1:$3</definedName>
    <definedName name="_xlnm.Print_Titles" localSheetId="9">SavedInputs!$1:$3</definedName>
    <definedName name="_xlnm.Print_Titles" localSheetId="7">Sensitivity!$1:$3</definedName>
    <definedName name="_xlnm.Print_Titles" localSheetId="11">Stub!$1:$3</definedName>
    <definedName name="_xlnm.Print_Titles" localSheetId="5">WorkingCapital!$1:$3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2" l="1"/>
  <c r="B45" i="12"/>
  <c r="B32" i="12"/>
  <c r="B22" i="12"/>
  <c r="B18" i="12"/>
  <c r="B7" i="12"/>
  <c r="B6" i="12"/>
  <c r="B5" i="12"/>
  <c r="B4" i="12"/>
  <c r="E72" i="11"/>
  <c r="E71" i="11"/>
  <c r="G39" i="11" s="1"/>
  <c r="G11" i="2" s="1"/>
  <c r="E70" i="11"/>
  <c r="E69" i="11"/>
  <c r="E68" i="11"/>
  <c r="E67" i="11"/>
  <c r="E66" i="11"/>
  <c r="G12" i="11" s="1"/>
  <c r="E65" i="11"/>
  <c r="G38" i="11" s="1"/>
  <c r="G25" i="4" s="1"/>
  <c r="E64" i="11"/>
  <c r="G37" i="11" s="1"/>
  <c r="G20" i="4" s="1"/>
  <c r="E63" i="11"/>
  <c r="B34" i="9" s="1"/>
  <c r="E62" i="11"/>
  <c r="B33" i="9" s="1"/>
  <c r="G11" i="5" s="1"/>
  <c r="E61" i="11"/>
  <c r="B32" i="9" s="1"/>
  <c r="E60" i="11"/>
  <c r="G33" i="11" s="1"/>
  <c r="E59" i="11"/>
  <c r="B30" i="9" s="1"/>
  <c r="G50" i="2" s="1"/>
  <c r="E58" i="11"/>
  <c r="E57" i="11"/>
  <c r="E56" i="11"/>
  <c r="F52" i="11"/>
  <c r="F33" i="4" s="1"/>
  <c r="F35" i="7" s="1"/>
  <c r="E52" i="11"/>
  <c r="E33" i="4" s="1"/>
  <c r="E35" i="7" s="1"/>
  <c r="D52" i="11"/>
  <c r="C52" i="11"/>
  <c r="B52" i="11"/>
  <c r="F51" i="11"/>
  <c r="F26" i="11" s="1"/>
  <c r="F24" i="3" s="1"/>
  <c r="E51" i="11"/>
  <c r="E26" i="11" s="1"/>
  <c r="E24" i="3" s="1"/>
  <c r="E32" i="3" s="1"/>
  <c r="D51" i="11"/>
  <c r="D26" i="11" s="1"/>
  <c r="D24" i="3" s="1"/>
  <c r="D32" i="3" s="1"/>
  <c r="C51" i="11"/>
  <c r="B51" i="11"/>
  <c r="B26" i="11" s="1"/>
  <c r="B24" i="3" s="1"/>
  <c r="B32" i="3" s="1"/>
  <c r="F50" i="11"/>
  <c r="F26" i="2" s="1"/>
  <c r="E50" i="11"/>
  <c r="E26" i="2" s="1"/>
  <c r="D50" i="11"/>
  <c r="D26" i="2" s="1"/>
  <c r="C50" i="11"/>
  <c r="C26" i="2" s="1"/>
  <c r="B50" i="11"/>
  <c r="B26" i="2" s="1"/>
  <c r="G49" i="11"/>
  <c r="G48" i="11"/>
  <c r="G47" i="11"/>
  <c r="G46" i="11"/>
  <c r="G40" i="11"/>
  <c r="G17" i="2" s="1"/>
  <c r="C26" i="11"/>
  <c r="G11" i="11"/>
  <c r="B43" i="9"/>
  <c r="B42" i="9"/>
  <c r="B41" i="9"/>
  <c r="B40" i="9"/>
  <c r="B39" i="9"/>
  <c r="L19" i="6" s="1"/>
  <c r="B38" i="9"/>
  <c r="B37" i="9"/>
  <c r="B36" i="9"/>
  <c r="B35" i="9"/>
  <c r="A6" i="8"/>
  <c r="A5" i="8"/>
  <c r="A4" i="8"/>
  <c r="Q44" i="7"/>
  <c r="P44" i="7"/>
  <c r="O44" i="7"/>
  <c r="N44" i="7"/>
  <c r="M44" i="7"/>
  <c r="L44" i="7"/>
  <c r="K44" i="7"/>
  <c r="J44" i="7"/>
  <c r="I44" i="7"/>
  <c r="H44" i="7"/>
  <c r="G31" i="7"/>
  <c r="B31" i="7"/>
  <c r="D29" i="7"/>
  <c r="C29" i="7"/>
  <c r="B29" i="7"/>
  <c r="B21" i="7"/>
  <c r="B18" i="7"/>
  <c r="B16" i="7"/>
  <c r="B15" i="7"/>
  <c r="B7" i="7"/>
  <c r="B5" i="7"/>
  <c r="B4" i="7"/>
  <c r="G23" i="6"/>
  <c r="G20" i="6"/>
  <c r="G18" i="6"/>
  <c r="F18" i="6"/>
  <c r="F23" i="6" s="1"/>
  <c r="E18" i="6"/>
  <c r="D18" i="6"/>
  <c r="C18" i="6"/>
  <c r="B18" i="6"/>
  <c r="B23" i="6" s="1"/>
  <c r="G14" i="6"/>
  <c r="Q13" i="6"/>
  <c r="O13" i="6"/>
  <c r="N13" i="6"/>
  <c r="G12" i="6"/>
  <c r="G10" i="6"/>
  <c r="G8" i="6"/>
  <c r="F8" i="6"/>
  <c r="E8" i="6"/>
  <c r="E8" i="3" s="1"/>
  <c r="D8" i="6"/>
  <c r="C8" i="6"/>
  <c r="B8" i="6"/>
  <c r="B8" i="3" s="1"/>
  <c r="Q24" i="5"/>
  <c r="P24" i="5"/>
  <c r="O24" i="5"/>
  <c r="N24" i="5"/>
  <c r="M24" i="5"/>
  <c r="L24" i="5"/>
  <c r="K24" i="5"/>
  <c r="J24" i="5"/>
  <c r="I24" i="5"/>
  <c r="H24" i="5"/>
  <c r="G22" i="5"/>
  <c r="F22" i="5"/>
  <c r="E22" i="5"/>
  <c r="F18" i="5" s="1"/>
  <c r="D22" i="5"/>
  <c r="E18" i="5" s="1"/>
  <c r="C22" i="5"/>
  <c r="B22" i="5"/>
  <c r="C18" i="5" s="1"/>
  <c r="Q20" i="5"/>
  <c r="P20" i="5"/>
  <c r="O20" i="5"/>
  <c r="N20" i="5"/>
  <c r="M20" i="5"/>
  <c r="L20" i="5"/>
  <c r="K20" i="5"/>
  <c r="J20" i="5"/>
  <c r="I20" i="5"/>
  <c r="H20" i="5"/>
  <c r="D18" i="5"/>
  <c r="Q16" i="5"/>
  <c r="P16" i="5"/>
  <c r="O16" i="5"/>
  <c r="N16" i="5"/>
  <c r="M16" i="5"/>
  <c r="L16" i="5"/>
  <c r="K16" i="5"/>
  <c r="J16" i="5"/>
  <c r="I16" i="5"/>
  <c r="H16" i="5"/>
  <c r="G14" i="5"/>
  <c r="F14" i="5"/>
  <c r="E14" i="5"/>
  <c r="F10" i="5" s="1"/>
  <c r="D14" i="5"/>
  <c r="E10" i="5" s="1"/>
  <c r="C14" i="5"/>
  <c r="D10" i="5" s="1"/>
  <c r="B14" i="5"/>
  <c r="F11" i="5"/>
  <c r="F30" i="7" s="1"/>
  <c r="E11" i="5"/>
  <c r="E30" i="7" s="1"/>
  <c r="D11" i="5"/>
  <c r="D12" i="5" s="1"/>
  <c r="C11" i="5"/>
  <c r="C12" i="5" s="1"/>
  <c r="B11" i="5"/>
  <c r="B30" i="7" s="1"/>
  <c r="C10" i="5"/>
  <c r="F6" i="5"/>
  <c r="F29" i="7" s="1"/>
  <c r="E6" i="5"/>
  <c r="D6" i="5"/>
  <c r="C6" i="5"/>
  <c r="B6" i="5"/>
  <c r="D33" i="4"/>
  <c r="D35" i="7" s="1"/>
  <c r="C33" i="4"/>
  <c r="C35" i="7" s="1"/>
  <c r="B33" i="4"/>
  <c r="B35" i="7" s="1"/>
  <c r="G30" i="4"/>
  <c r="F30" i="4"/>
  <c r="E30" i="4"/>
  <c r="D30" i="4"/>
  <c r="C30" i="4"/>
  <c r="D28" i="4" s="1"/>
  <c r="B30" i="4"/>
  <c r="C28" i="4" s="1"/>
  <c r="F28" i="4"/>
  <c r="E28" i="4"/>
  <c r="F25" i="4"/>
  <c r="E25" i="4"/>
  <c r="D25" i="4"/>
  <c r="C25" i="4"/>
  <c r="B25" i="4"/>
  <c r="Q23" i="4"/>
  <c r="P23" i="4"/>
  <c r="O23" i="4"/>
  <c r="N23" i="4"/>
  <c r="M23" i="4"/>
  <c r="L23" i="4"/>
  <c r="K23" i="4"/>
  <c r="J23" i="4"/>
  <c r="I23" i="4"/>
  <c r="H23" i="4"/>
  <c r="F20" i="4"/>
  <c r="E20" i="4"/>
  <c r="D20" i="4"/>
  <c r="C20" i="4"/>
  <c r="B20" i="4"/>
  <c r="B17" i="4"/>
  <c r="F14" i="4"/>
  <c r="E14" i="4"/>
  <c r="D14" i="4"/>
  <c r="C14" i="4"/>
  <c r="B14" i="4"/>
  <c r="F11" i="4"/>
  <c r="E11" i="4"/>
  <c r="D11" i="4"/>
  <c r="C11" i="4"/>
  <c r="B11" i="4"/>
  <c r="F9" i="4"/>
  <c r="E9" i="4"/>
  <c r="D9" i="4"/>
  <c r="C9" i="4"/>
  <c r="B9" i="4"/>
  <c r="F8" i="4"/>
  <c r="E8" i="4"/>
  <c r="D8" i="4"/>
  <c r="C8" i="4"/>
  <c r="B8" i="4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G29" i="3"/>
  <c r="E29" i="3"/>
  <c r="D29" i="3"/>
  <c r="E26" i="3" s="1"/>
  <c r="C29" i="3"/>
  <c r="D26" i="3" s="1"/>
  <c r="B29" i="3"/>
  <c r="C26" i="3" s="1"/>
  <c r="F26" i="3"/>
  <c r="G24" i="3"/>
  <c r="G32" i="3" s="1"/>
  <c r="C24" i="3"/>
  <c r="C32" i="3" s="1"/>
  <c r="G23" i="3"/>
  <c r="Q22" i="3"/>
  <c r="P22" i="3"/>
  <c r="O22" i="3"/>
  <c r="N22" i="3"/>
  <c r="M22" i="3"/>
  <c r="L22" i="3"/>
  <c r="K22" i="3"/>
  <c r="J22" i="3"/>
  <c r="I22" i="3"/>
  <c r="H22" i="3"/>
  <c r="G22" i="3"/>
  <c r="Q21" i="3"/>
  <c r="P21" i="3"/>
  <c r="O21" i="3"/>
  <c r="N21" i="3"/>
  <c r="M21" i="3"/>
  <c r="L21" i="3"/>
  <c r="K21" i="3"/>
  <c r="J21" i="3"/>
  <c r="I21" i="3"/>
  <c r="H21" i="3"/>
  <c r="G21" i="3"/>
  <c r="Q20" i="3"/>
  <c r="P20" i="3"/>
  <c r="O20" i="3"/>
  <c r="N20" i="3"/>
  <c r="M20" i="3"/>
  <c r="L20" i="3"/>
  <c r="K20" i="3"/>
  <c r="J20" i="3"/>
  <c r="I20" i="3"/>
  <c r="H20" i="3"/>
  <c r="G20" i="3"/>
  <c r="G18" i="3"/>
  <c r="F18" i="3"/>
  <c r="E18" i="3"/>
  <c r="D18" i="3"/>
  <c r="C18" i="3"/>
  <c r="B18" i="3"/>
  <c r="G15" i="3"/>
  <c r="F15" i="3"/>
  <c r="E15" i="3"/>
  <c r="D15" i="3"/>
  <c r="C15" i="3"/>
  <c r="B15" i="3"/>
  <c r="Q14" i="3"/>
  <c r="P14" i="3"/>
  <c r="O14" i="3"/>
  <c r="N14" i="3"/>
  <c r="M14" i="3"/>
  <c r="L14" i="3"/>
  <c r="K14" i="3"/>
  <c r="J14" i="3"/>
  <c r="I14" i="3"/>
  <c r="H14" i="3"/>
  <c r="G14" i="3"/>
  <c r="G11" i="3"/>
  <c r="G10" i="3"/>
  <c r="F10" i="3"/>
  <c r="E10" i="3"/>
  <c r="D10" i="3"/>
  <c r="C10" i="3"/>
  <c r="B10" i="3"/>
  <c r="G9" i="3"/>
  <c r="G8" i="3"/>
  <c r="F8" i="3"/>
  <c r="Q7" i="3"/>
  <c r="P7" i="3"/>
  <c r="O7" i="3"/>
  <c r="N7" i="3"/>
  <c r="M7" i="3"/>
  <c r="L7" i="3"/>
  <c r="K7" i="3"/>
  <c r="J7" i="3"/>
  <c r="I7" i="3"/>
  <c r="H7" i="3"/>
  <c r="G7" i="3"/>
  <c r="G6" i="3"/>
  <c r="F6" i="3"/>
  <c r="E6" i="3"/>
  <c r="D6" i="3"/>
  <c r="C6" i="3"/>
  <c r="B6" i="3"/>
  <c r="G57" i="2"/>
  <c r="F57" i="2"/>
  <c r="E57" i="2"/>
  <c r="D57" i="2"/>
  <c r="C57" i="2"/>
  <c r="B57" i="2"/>
  <c r="G56" i="2"/>
  <c r="F56" i="2"/>
  <c r="E56" i="2"/>
  <c r="D56" i="2"/>
  <c r="C56" i="2"/>
  <c r="B56" i="2"/>
  <c r="F53" i="2"/>
  <c r="F54" i="2" s="1"/>
  <c r="E53" i="2"/>
  <c r="D53" i="2"/>
  <c r="C53" i="2"/>
  <c r="B53" i="2"/>
  <c r="Q51" i="2"/>
  <c r="P51" i="2"/>
  <c r="O51" i="2"/>
  <c r="N51" i="2"/>
  <c r="M51" i="2"/>
  <c r="L51" i="2"/>
  <c r="K51" i="2"/>
  <c r="J51" i="2"/>
  <c r="I51" i="2"/>
  <c r="H51" i="2"/>
  <c r="F50" i="2"/>
  <c r="E50" i="2"/>
  <c r="D50" i="2"/>
  <c r="C50" i="2"/>
  <c r="B50" i="2"/>
  <c r="G49" i="2"/>
  <c r="F49" i="2"/>
  <c r="E49" i="2"/>
  <c r="D49" i="2"/>
  <c r="C49" i="2"/>
  <c r="B49" i="2"/>
  <c r="Q47" i="2"/>
  <c r="P47" i="2"/>
  <c r="O47" i="2"/>
  <c r="O46" i="2" s="1"/>
  <c r="N47" i="2"/>
  <c r="M47" i="2"/>
  <c r="L47" i="2"/>
  <c r="K47" i="2"/>
  <c r="J47" i="2"/>
  <c r="I47" i="2"/>
  <c r="H47" i="2"/>
  <c r="Q44" i="2"/>
  <c r="P44" i="2"/>
  <c r="O44" i="2"/>
  <c r="N44" i="2"/>
  <c r="M44" i="2"/>
  <c r="L44" i="2"/>
  <c r="K44" i="2"/>
  <c r="J44" i="2"/>
  <c r="I44" i="2"/>
  <c r="I43" i="2" s="1"/>
  <c r="H44" i="2"/>
  <c r="K43" i="2"/>
  <c r="G43" i="2"/>
  <c r="F43" i="2"/>
  <c r="E43" i="2"/>
  <c r="D43" i="2"/>
  <c r="C43" i="2"/>
  <c r="B43" i="2"/>
  <c r="F40" i="2"/>
  <c r="F27" i="7" s="1"/>
  <c r="E40" i="2"/>
  <c r="E27" i="7" s="1"/>
  <c r="D40" i="2"/>
  <c r="D34" i="2" s="1"/>
  <c r="C40" i="2"/>
  <c r="C34" i="2" s="1"/>
  <c r="B40" i="2"/>
  <c r="B27" i="7" s="1"/>
  <c r="B34" i="2"/>
  <c r="G20" i="2"/>
  <c r="F20" i="2"/>
  <c r="E20" i="2"/>
  <c r="D20" i="2"/>
  <c r="C20" i="2"/>
  <c r="B20" i="2"/>
  <c r="Q18" i="2"/>
  <c r="P18" i="2"/>
  <c r="O18" i="2"/>
  <c r="N18" i="2"/>
  <c r="M18" i="2"/>
  <c r="L18" i="2"/>
  <c r="K18" i="2"/>
  <c r="J18" i="2"/>
  <c r="I18" i="2"/>
  <c r="H18" i="2"/>
  <c r="F17" i="2"/>
  <c r="E17" i="2"/>
  <c r="D17" i="2"/>
  <c r="C17" i="2"/>
  <c r="B17" i="2"/>
  <c r="Q12" i="2"/>
  <c r="P12" i="2"/>
  <c r="O12" i="2"/>
  <c r="N12" i="2"/>
  <c r="M12" i="2"/>
  <c r="L12" i="2"/>
  <c r="K12" i="2"/>
  <c r="J12" i="2"/>
  <c r="I12" i="2"/>
  <c r="H12" i="2"/>
  <c r="F11" i="2"/>
  <c r="F12" i="2" s="1"/>
  <c r="E11" i="2"/>
  <c r="E12" i="2" s="1"/>
  <c r="D11" i="2"/>
  <c r="C11" i="2"/>
  <c r="B11" i="2"/>
  <c r="Q9" i="2"/>
  <c r="P9" i="2"/>
  <c r="O9" i="2"/>
  <c r="N9" i="2"/>
  <c r="M9" i="2"/>
  <c r="L9" i="2"/>
  <c r="K9" i="2"/>
  <c r="J9" i="2"/>
  <c r="I9" i="2"/>
  <c r="H9" i="2"/>
  <c r="F8" i="2"/>
  <c r="F14" i="2" s="1"/>
  <c r="F15" i="2" s="1"/>
  <c r="E8" i="2"/>
  <c r="D8" i="2"/>
  <c r="C8" i="2"/>
  <c r="B8" i="2"/>
  <c r="Q5" i="2"/>
  <c r="P5" i="2"/>
  <c r="O5" i="2"/>
  <c r="N5" i="2"/>
  <c r="M5" i="2"/>
  <c r="M46" i="2" s="1"/>
  <c r="L5" i="2"/>
  <c r="K5" i="2"/>
  <c r="J5" i="2"/>
  <c r="I5" i="2"/>
  <c r="H5" i="2"/>
  <c r="H46" i="2" s="1"/>
  <c r="G30" i="7" l="1"/>
  <c r="G17" i="4"/>
  <c r="F32" i="3"/>
  <c r="P13" i="6"/>
  <c r="D54" i="2"/>
  <c r="F29" i="3"/>
  <c r="J43" i="2"/>
  <c r="E54" i="2"/>
  <c r="E12" i="5"/>
  <c r="P46" i="2"/>
  <c r="F12" i="5"/>
  <c r="B6" i="7"/>
  <c r="L37" i="7" s="1"/>
  <c r="G34" i="11"/>
  <c r="G11" i="4" s="1"/>
  <c r="L43" i="2"/>
  <c r="G35" i="11"/>
  <c r="B12" i="5"/>
  <c r="F34" i="2"/>
  <c r="F35" i="2" s="1"/>
  <c r="G36" i="11"/>
  <c r="G14" i="4" s="1"/>
  <c r="J46" i="2"/>
  <c r="E14" i="2"/>
  <c r="E15" i="2" s="1"/>
  <c r="F17" i="4"/>
  <c r="L46" i="2"/>
  <c r="D35" i="2"/>
  <c r="M43" i="2"/>
  <c r="O43" i="2"/>
  <c r="B18" i="2"/>
  <c r="F27" i="2"/>
  <c r="E9" i="2"/>
  <c r="F9" i="2"/>
  <c r="F41" i="2"/>
  <c r="G51" i="2"/>
  <c r="N43" i="2"/>
  <c r="D41" i="2"/>
  <c r="C27" i="7"/>
  <c r="P43" i="2"/>
  <c r="E41" i="2"/>
  <c r="D27" i="7"/>
  <c r="H8" i="2"/>
  <c r="E34" i="2"/>
  <c r="E35" i="2" s="1"/>
  <c r="K46" i="2"/>
  <c r="H43" i="2"/>
  <c r="D14" i="2"/>
  <c r="D15" i="2" s="1"/>
  <c r="I46" i="2"/>
  <c r="N46" i="2"/>
  <c r="B8" i="12"/>
  <c r="B14" i="2"/>
  <c r="B15" i="2" s="1"/>
  <c r="B35" i="2"/>
  <c r="B27" i="9"/>
  <c r="I12" i="4" s="1"/>
  <c r="G7" i="11"/>
  <c r="B29" i="9"/>
  <c r="G13" i="11"/>
  <c r="C27" i="2"/>
  <c r="C26" i="7"/>
  <c r="C41" i="2"/>
  <c r="C12" i="2"/>
  <c r="G6" i="5"/>
  <c r="G29" i="7" s="1"/>
  <c r="G9" i="4"/>
  <c r="B54" i="2"/>
  <c r="K37" i="7"/>
  <c r="M13" i="6"/>
  <c r="L13" i="6"/>
  <c r="K13" i="6"/>
  <c r="Q19" i="6"/>
  <c r="J13" i="6"/>
  <c r="P19" i="6"/>
  <c r="I13" i="6"/>
  <c r="O19" i="6"/>
  <c r="H13" i="6"/>
  <c r="N19" i="6"/>
  <c r="M19" i="6"/>
  <c r="K19" i="6"/>
  <c r="J19" i="6"/>
  <c r="I19" i="6"/>
  <c r="H19" i="6"/>
  <c r="M12" i="4"/>
  <c r="L12" i="4"/>
  <c r="K12" i="4"/>
  <c r="B28" i="9"/>
  <c r="G10" i="11"/>
  <c r="G40" i="2" s="1"/>
  <c r="E27" i="2"/>
  <c r="C14" i="2"/>
  <c r="C15" i="2" s="1"/>
  <c r="C9" i="2"/>
  <c r="D9" i="2"/>
  <c r="J37" i="7"/>
  <c r="P38" i="7"/>
  <c r="I37" i="7"/>
  <c r="B51" i="2"/>
  <c r="Q46" i="2"/>
  <c r="C18" i="2"/>
  <c r="C51" i="2"/>
  <c r="N37" i="7"/>
  <c r="B27" i="2"/>
  <c r="B41" i="2"/>
  <c r="B12" i="2"/>
  <c r="B36" i="12"/>
  <c r="B35" i="12"/>
  <c r="C35" i="2"/>
  <c r="C21" i="2"/>
  <c r="D51" i="2"/>
  <c r="E29" i="7"/>
  <c r="B21" i="2"/>
  <c r="C54" i="2"/>
  <c r="C30" i="7"/>
  <c r="C17" i="4"/>
  <c r="B26" i="7"/>
  <c r="C8" i="3"/>
  <c r="C23" i="6"/>
  <c r="C25" i="6" s="1"/>
  <c r="C31" i="7" s="1"/>
  <c r="N38" i="7"/>
  <c r="E51" i="2"/>
  <c r="D30" i="7"/>
  <c r="D17" i="4"/>
  <c r="F51" i="2"/>
  <c r="Q43" i="2"/>
  <c r="N12" i="4"/>
  <c r="D8" i="3"/>
  <c r="D23" i="6"/>
  <c r="D25" i="6" s="1"/>
  <c r="D31" i="7" s="1"/>
  <c r="D18" i="2"/>
  <c r="D21" i="2"/>
  <c r="E18" i="2"/>
  <c r="E21" i="2"/>
  <c r="D12" i="2"/>
  <c r="F18" i="2"/>
  <c r="F21" i="2"/>
  <c r="E17" i="4"/>
  <c r="E23" i="6"/>
  <c r="E26" i="7"/>
  <c r="F26" i="7"/>
  <c r="B31" i="9"/>
  <c r="D27" i="2"/>
  <c r="D26" i="7"/>
  <c r="K38" i="7" l="1"/>
  <c r="M37" i="7"/>
  <c r="J38" i="7"/>
  <c r="L38" i="7"/>
  <c r="H11" i="2"/>
  <c r="H14" i="2" s="1"/>
  <c r="H15" i="2" s="1"/>
  <c r="H32" i="2"/>
  <c r="I38" i="7"/>
  <c r="H38" i="7"/>
  <c r="O38" i="7"/>
  <c r="P37" i="7"/>
  <c r="H37" i="7"/>
  <c r="M38" i="7"/>
  <c r="Q37" i="7"/>
  <c r="Q38" i="7"/>
  <c r="O37" i="7"/>
  <c r="B5" i="1"/>
  <c r="G52" i="11"/>
  <c r="G33" i="4" s="1"/>
  <c r="G35" i="7" s="1"/>
  <c r="H14" i="6"/>
  <c r="I8" i="2"/>
  <c r="I20" i="6" s="1"/>
  <c r="I23" i="3" s="1"/>
  <c r="H21" i="2"/>
  <c r="H19" i="5"/>
  <c r="H18" i="4" s="1"/>
  <c r="H26" i="7"/>
  <c r="H17" i="2"/>
  <c r="H8" i="5"/>
  <c r="H30" i="2"/>
  <c r="H29" i="2" s="1"/>
  <c r="Q30" i="2"/>
  <c r="P30" i="2"/>
  <c r="O30" i="2"/>
  <c r="L30" i="2"/>
  <c r="K30" i="2"/>
  <c r="N30" i="2"/>
  <c r="M30" i="2"/>
  <c r="J30" i="2"/>
  <c r="I30" i="2"/>
  <c r="I11" i="4"/>
  <c r="F25" i="6"/>
  <c r="F31" i="7" s="1"/>
  <c r="E25" i="6"/>
  <c r="E31" i="7" s="1"/>
  <c r="H10" i="6"/>
  <c r="G8" i="4"/>
  <c r="G53" i="2"/>
  <c r="G27" i="7"/>
  <c r="G34" i="2"/>
  <c r="B23" i="12"/>
  <c r="B19" i="12"/>
  <c r="B13" i="12"/>
  <c r="B31" i="12"/>
  <c r="B29" i="12"/>
  <c r="B27" i="12"/>
  <c r="B17" i="12"/>
  <c r="B10" i="12"/>
  <c r="B26" i="12"/>
  <c r="B40" i="12"/>
  <c r="B11" i="12"/>
  <c r="B9" i="12"/>
  <c r="H8" i="6"/>
  <c r="H8" i="3" s="1"/>
  <c r="G50" i="11"/>
  <c r="G26" i="2" s="1"/>
  <c r="G8" i="2"/>
  <c r="H20" i="6"/>
  <c r="H23" i="3" s="1"/>
  <c r="H12" i="4"/>
  <c r="H11" i="4" s="1"/>
  <c r="H26" i="2"/>
  <c r="H34" i="2" s="1"/>
  <c r="B8" i="13"/>
  <c r="B20" i="7" s="1"/>
  <c r="B7" i="13"/>
  <c r="Q9" i="6"/>
  <c r="Q12" i="5"/>
  <c r="N9" i="6"/>
  <c r="N12" i="5"/>
  <c r="M9" i="6"/>
  <c r="M12" i="5"/>
  <c r="L9" i="6"/>
  <c r="L12" i="5"/>
  <c r="K9" i="6"/>
  <c r="K12" i="5"/>
  <c r="Q12" i="4"/>
  <c r="O12" i="4"/>
  <c r="J9" i="6"/>
  <c r="I9" i="6"/>
  <c r="H9" i="6"/>
  <c r="P9" i="6"/>
  <c r="O9" i="6"/>
  <c r="O12" i="5"/>
  <c r="P12" i="5"/>
  <c r="I12" i="5"/>
  <c r="J12" i="5"/>
  <c r="H12" i="5"/>
  <c r="H11" i="5" s="1"/>
  <c r="P12" i="4"/>
  <c r="J12" i="4"/>
  <c r="I10" i="6" l="1"/>
  <c r="I32" i="2"/>
  <c r="I29" i="2"/>
  <c r="I19" i="5"/>
  <c r="I18" i="4" s="1"/>
  <c r="I26" i="7"/>
  <c r="J8" i="2"/>
  <c r="I8" i="6"/>
  <c r="I8" i="3" s="1"/>
  <c r="I11" i="5"/>
  <c r="I14" i="6"/>
  <c r="I17" i="2"/>
  <c r="I8" i="5"/>
  <c r="I11" i="2"/>
  <c r="I14" i="2" s="1"/>
  <c r="I15" i="2" s="1"/>
  <c r="I21" i="2"/>
  <c r="I17" i="4"/>
  <c r="I20" i="4"/>
  <c r="I30" i="7"/>
  <c r="B43" i="12"/>
  <c r="B20" i="12"/>
  <c r="B14" i="12" s="1"/>
  <c r="G26" i="7"/>
  <c r="G41" i="2"/>
  <c r="G21" i="2"/>
  <c r="G18" i="2"/>
  <c r="G54" i="2"/>
  <c r="G35" i="2"/>
  <c r="G14" i="2"/>
  <c r="G15" i="2" s="1"/>
  <c r="G12" i="2"/>
  <c r="G27" i="2"/>
  <c r="G12" i="5"/>
  <c r="H20" i="4"/>
  <c r="H30" i="7"/>
  <c r="H17" i="4"/>
  <c r="J26" i="7"/>
  <c r="J17" i="2"/>
  <c r="J8" i="6"/>
  <c r="J8" i="3" s="1"/>
  <c r="J10" i="6"/>
  <c r="K8" i="2"/>
  <c r="J21" i="2"/>
  <c r="J11" i="5"/>
  <c r="J19" i="5"/>
  <c r="J18" i="4" s="1"/>
  <c r="J11" i="4"/>
  <c r="J29" i="2"/>
  <c r="J11" i="2"/>
  <c r="H18" i="6"/>
  <c r="H12" i="6"/>
  <c r="H27" i="2"/>
  <c r="B24" i="12"/>
  <c r="B15" i="12" s="1"/>
  <c r="H9" i="3"/>
  <c r="B12" i="12"/>
  <c r="B30" i="12"/>
  <c r="B28" i="12"/>
  <c r="J32" i="2" l="1"/>
  <c r="B16" i="12"/>
  <c r="B37" i="12" s="1"/>
  <c r="K32" i="2"/>
  <c r="I26" i="2"/>
  <c r="I34" i="2" s="1"/>
  <c r="J20" i="6"/>
  <c r="J23" i="3" s="1"/>
  <c r="J14" i="6"/>
  <c r="J8" i="5"/>
  <c r="J26" i="2"/>
  <c r="J34" i="2" s="1"/>
  <c r="J12" i="6"/>
  <c r="J18" i="6"/>
  <c r="J27" i="2"/>
  <c r="I18" i="6"/>
  <c r="I12" i="6"/>
  <c r="I9" i="3" s="1"/>
  <c r="I27" i="2"/>
  <c r="J20" i="4"/>
  <c r="J17" i="4"/>
  <c r="J30" i="7"/>
  <c r="J14" i="2"/>
  <c r="J15" i="2" s="1"/>
  <c r="B33" i="12"/>
  <c r="B34" i="12" s="1"/>
  <c r="B52" i="12" s="1"/>
  <c r="B50" i="12"/>
  <c r="B21" i="12"/>
  <c r="B25" i="12"/>
  <c r="H18" i="5" s="1"/>
  <c r="H18" i="3"/>
  <c r="H24" i="3" s="1"/>
  <c r="H23" i="6"/>
  <c r="K8" i="6"/>
  <c r="K8" i="3" s="1"/>
  <c r="K10" i="6"/>
  <c r="L8" i="2"/>
  <c r="K21" i="2"/>
  <c r="K11" i="5"/>
  <c r="K11" i="4"/>
  <c r="K8" i="5"/>
  <c r="K19" i="5"/>
  <c r="K18" i="4" s="1"/>
  <c r="K26" i="7"/>
  <c r="K20" i="6"/>
  <c r="K23" i="3" s="1"/>
  <c r="K29" i="2"/>
  <c r="K14" i="6"/>
  <c r="K11" i="2"/>
  <c r="K14" i="2" s="1"/>
  <c r="K15" i="2" s="1"/>
  <c r="K17" i="2"/>
  <c r="J9" i="3"/>
  <c r="H35" i="2"/>
  <c r="L32" i="2" l="1"/>
  <c r="H25" i="6"/>
  <c r="B54" i="12"/>
  <c r="H31" i="7"/>
  <c r="H13" i="4"/>
  <c r="J35" i="2"/>
  <c r="H21" i="5"/>
  <c r="H38" i="2" s="1"/>
  <c r="B23" i="7"/>
  <c r="B38" i="12"/>
  <c r="B39" i="12" s="1"/>
  <c r="H10" i="5"/>
  <c r="B6" i="13"/>
  <c r="B55" i="12"/>
  <c r="I23" i="6"/>
  <c r="I25" i="6" s="1"/>
  <c r="I18" i="3"/>
  <c r="I24" i="3" s="1"/>
  <c r="K26" i="2"/>
  <c r="K34" i="2" s="1"/>
  <c r="I35" i="2"/>
  <c r="K20" i="4"/>
  <c r="K17" i="4"/>
  <c r="K30" i="7"/>
  <c r="L10" i="6"/>
  <c r="M8" i="2"/>
  <c r="L21" i="2"/>
  <c r="L11" i="5"/>
  <c r="L29" i="2"/>
  <c r="L11" i="4"/>
  <c r="L14" i="6"/>
  <c r="L19" i="5"/>
  <c r="L18" i="4" s="1"/>
  <c r="L26" i="7"/>
  <c r="L17" i="2"/>
  <c r="L11" i="2"/>
  <c r="L20" i="6"/>
  <c r="L23" i="3" s="1"/>
  <c r="L14" i="2"/>
  <c r="L15" i="2" s="1"/>
  <c r="L8" i="6"/>
  <c r="L8" i="3" s="1"/>
  <c r="L8" i="5"/>
  <c r="J18" i="3"/>
  <c r="J24" i="3" s="1"/>
  <c r="J23" i="6"/>
  <c r="J25" i="6" s="1"/>
  <c r="M32" i="2" l="1"/>
  <c r="L26" i="2"/>
  <c r="L34" i="2" s="1"/>
  <c r="H22" i="5"/>
  <c r="B41" i="12"/>
  <c r="B44" i="12" s="1"/>
  <c r="B42" i="12"/>
  <c r="B48" i="12"/>
  <c r="H26" i="3" s="1"/>
  <c r="K12" i="6"/>
  <c r="K9" i="3" s="1"/>
  <c r="K27" i="2"/>
  <c r="K18" i="6"/>
  <c r="H13" i="5"/>
  <c r="H14" i="5" s="1"/>
  <c r="H11" i="3"/>
  <c r="I18" i="5"/>
  <c r="L12" i="6"/>
  <c r="L9" i="3" s="1"/>
  <c r="L27" i="2"/>
  <c r="L18" i="6"/>
  <c r="N8" i="2"/>
  <c r="M21" i="2"/>
  <c r="M11" i="5"/>
  <c r="M29" i="2"/>
  <c r="M11" i="4"/>
  <c r="M14" i="6"/>
  <c r="M8" i="5"/>
  <c r="M19" i="5"/>
  <c r="M18" i="4" s="1"/>
  <c r="M26" i="7"/>
  <c r="M10" i="6"/>
  <c r="M11" i="2"/>
  <c r="M20" i="6"/>
  <c r="M23" i="3" s="1"/>
  <c r="M14" i="2"/>
  <c r="M15" i="2" s="1"/>
  <c r="M17" i="2"/>
  <c r="M8" i="6"/>
  <c r="M8" i="3" s="1"/>
  <c r="J31" i="7"/>
  <c r="J13" i="4"/>
  <c r="I31" i="7"/>
  <c r="I13" i="4"/>
  <c r="L17" i="4"/>
  <c r="L20" i="4"/>
  <c r="L30" i="7"/>
  <c r="N32" i="2" l="1"/>
  <c r="I10" i="5"/>
  <c r="C6" i="13"/>
  <c r="H10" i="3"/>
  <c r="H42" i="7"/>
  <c r="L18" i="3"/>
  <c r="L24" i="3" s="1"/>
  <c r="L23" i="6"/>
  <c r="I21" i="5"/>
  <c r="I38" i="2" s="1"/>
  <c r="I22" i="5"/>
  <c r="B53" i="12"/>
  <c r="B46" i="12"/>
  <c r="M17" i="4"/>
  <c r="M20" i="4"/>
  <c r="M30" i="7"/>
  <c r="N21" i="2"/>
  <c r="O8" i="2"/>
  <c r="N11" i="5"/>
  <c r="N14" i="2"/>
  <c r="N15" i="2" s="1"/>
  <c r="N29" i="2"/>
  <c r="N11" i="4"/>
  <c r="N14" i="6"/>
  <c r="N8" i="5"/>
  <c r="N10" i="6"/>
  <c r="N19" i="5"/>
  <c r="N18" i="4" s="1"/>
  <c r="N20" i="6"/>
  <c r="N23" i="3" s="1"/>
  <c r="N11" i="2"/>
  <c r="N17" i="2"/>
  <c r="N26" i="7"/>
  <c r="N8" i="6"/>
  <c r="N8" i="3" s="1"/>
  <c r="L35" i="2"/>
  <c r="H37" i="2"/>
  <c r="H40" i="2" s="1"/>
  <c r="H6" i="5"/>
  <c r="H9" i="4"/>
  <c r="H29" i="7"/>
  <c r="M26" i="2"/>
  <c r="M34" i="2" s="1"/>
  <c r="K35" i="2"/>
  <c r="K18" i="3"/>
  <c r="K24" i="3" s="1"/>
  <c r="K23" i="6"/>
  <c r="K25" i="6" s="1"/>
  <c r="O32" i="2" l="1"/>
  <c r="L25" i="6"/>
  <c r="H34" i="7"/>
  <c r="H49" i="2"/>
  <c r="H27" i="7"/>
  <c r="H35" i="4"/>
  <c r="H41" i="2"/>
  <c r="I11" i="3"/>
  <c r="J18" i="5"/>
  <c r="M12" i="6"/>
  <c r="M9" i="3" s="1"/>
  <c r="M27" i="2"/>
  <c r="M18" i="6"/>
  <c r="N17" i="4"/>
  <c r="N20" i="4"/>
  <c r="N30" i="7"/>
  <c r="P8" i="2"/>
  <c r="O21" i="2"/>
  <c r="O11" i="5"/>
  <c r="O29" i="2"/>
  <c r="O14" i="2"/>
  <c r="O15" i="2" s="1"/>
  <c r="O14" i="6"/>
  <c r="O8" i="5"/>
  <c r="O11" i="4"/>
  <c r="O17" i="2"/>
  <c r="O10" i="6"/>
  <c r="O20" i="6"/>
  <c r="O23" i="3" s="1"/>
  <c r="O19" i="5"/>
  <c r="O18" i="4" s="1"/>
  <c r="O11" i="2"/>
  <c r="O26" i="2" s="1"/>
  <c r="O34" i="2" s="1"/>
  <c r="O26" i="7"/>
  <c r="O8" i="6"/>
  <c r="O8" i="3" s="1"/>
  <c r="B5" i="13"/>
  <c r="B49" i="12"/>
  <c r="B51" i="12" s="1"/>
  <c r="B4" i="13" s="1"/>
  <c r="H28" i="4"/>
  <c r="N26" i="2"/>
  <c r="N34" i="2" s="1"/>
  <c r="L31" i="7"/>
  <c r="L13" i="4"/>
  <c r="K31" i="7"/>
  <c r="K13" i="4"/>
  <c r="I13" i="5"/>
  <c r="P32" i="2" l="1"/>
  <c r="O35" i="2"/>
  <c r="O17" i="4"/>
  <c r="O20" i="4"/>
  <c r="O30" i="7"/>
  <c r="N12" i="6"/>
  <c r="N9" i="3" s="1"/>
  <c r="N27" i="2"/>
  <c r="N18" i="6"/>
  <c r="I37" i="2"/>
  <c r="I40" i="2" s="1"/>
  <c r="I6" i="5"/>
  <c r="I29" i="7"/>
  <c r="I9" i="4"/>
  <c r="M35" i="2"/>
  <c r="O27" i="2"/>
  <c r="O12" i="6"/>
  <c r="O9" i="3" s="1"/>
  <c r="O18" i="6"/>
  <c r="H39" i="7"/>
  <c r="H32" i="7"/>
  <c r="H50" i="2"/>
  <c r="H53" i="2" s="1"/>
  <c r="P21" i="2"/>
  <c r="P29" i="2"/>
  <c r="P11" i="5"/>
  <c r="P8" i="5"/>
  <c r="P11" i="4"/>
  <c r="P10" i="6"/>
  <c r="P20" i="6"/>
  <c r="P23" i="3" s="1"/>
  <c r="P17" i="2"/>
  <c r="P26" i="7"/>
  <c r="P14" i="6"/>
  <c r="P11" i="2"/>
  <c r="P26" i="2" s="1"/>
  <c r="P34" i="2" s="1"/>
  <c r="P19" i="5"/>
  <c r="P18" i="4" s="1"/>
  <c r="Q8" i="2"/>
  <c r="P8" i="6"/>
  <c r="P8" i="3" s="1"/>
  <c r="M18" i="3"/>
  <c r="M24" i="3" s="1"/>
  <c r="M23" i="6"/>
  <c r="M25" i="6" s="1"/>
  <c r="J21" i="5"/>
  <c r="J38" i="2" s="1"/>
  <c r="I14" i="5"/>
  <c r="Q32" i="2" l="1"/>
  <c r="H14" i="4"/>
  <c r="H8" i="4"/>
  <c r="H27" i="3"/>
  <c r="H24" i="4"/>
  <c r="H54" i="2"/>
  <c r="P35" i="2"/>
  <c r="N18" i="3"/>
  <c r="N24" i="3" s="1"/>
  <c r="N23" i="6"/>
  <c r="N25" i="6" s="1"/>
  <c r="I34" i="7"/>
  <c r="I27" i="7"/>
  <c r="I49" i="2"/>
  <c r="I35" i="4"/>
  <c r="I41" i="2"/>
  <c r="P30" i="7"/>
  <c r="P17" i="4"/>
  <c r="P20" i="4"/>
  <c r="P27" i="2"/>
  <c r="P12" i="6"/>
  <c r="P9" i="3" s="1"/>
  <c r="P18" i="6"/>
  <c r="N35" i="2"/>
  <c r="Q11" i="5"/>
  <c r="Q29" i="2"/>
  <c r="Q11" i="4"/>
  <c r="Q19" i="5"/>
  <c r="Q18" i="4" s="1"/>
  <c r="Q10" i="6"/>
  <c r="Q20" i="6"/>
  <c r="Q23" i="3" s="1"/>
  <c r="Q14" i="6"/>
  <c r="Q11" i="2"/>
  <c r="Q21" i="2"/>
  <c r="Q17" i="2"/>
  <c r="Q26" i="7"/>
  <c r="Q8" i="6"/>
  <c r="Q8" i="3" s="1"/>
  <c r="Q8" i="5"/>
  <c r="O23" i="6"/>
  <c r="O25" i="6" s="1"/>
  <c r="O18" i="3"/>
  <c r="O24" i="3" s="1"/>
  <c r="J10" i="5"/>
  <c r="D6" i="13"/>
  <c r="I10" i="3"/>
  <c r="I42" i="7"/>
  <c r="P14" i="2"/>
  <c r="P15" i="2" s="1"/>
  <c r="J22" i="5"/>
  <c r="M13" i="4"/>
  <c r="M31" i="7"/>
  <c r="I39" i="7" l="1"/>
  <c r="I32" i="7"/>
  <c r="O13" i="4"/>
  <c r="O31" i="7"/>
  <c r="Q26" i="2"/>
  <c r="Q34" i="2" s="1"/>
  <c r="I50" i="2"/>
  <c r="I53" i="2" s="1"/>
  <c r="J11" i="3"/>
  <c r="K18" i="5"/>
  <c r="P23" i="6"/>
  <c r="P25" i="6" s="1"/>
  <c r="P18" i="3"/>
  <c r="P24" i="3" s="1"/>
  <c r="N13" i="4"/>
  <c r="N31" i="7"/>
  <c r="Q14" i="2"/>
  <c r="Q15" i="2" s="1"/>
  <c r="H28" i="3"/>
  <c r="H25" i="4"/>
  <c r="H30" i="4" s="1"/>
  <c r="H29" i="3"/>
  <c r="I26" i="3" s="1"/>
  <c r="Q30" i="7"/>
  <c r="Q20" i="4"/>
  <c r="Q17" i="4"/>
  <c r="J13" i="5"/>
  <c r="J14" i="5" s="1"/>
  <c r="H33" i="4"/>
  <c r="H35" i="7" s="1"/>
  <c r="K10" i="5" l="1"/>
  <c r="E6" i="13"/>
  <c r="J42" i="7"/>
  <c r="J10" i="3"/>
  <c r="C5" i="13"/>
  <c r="H6" i="3"/>
  <c r="H15" i="3" s="1"/>
  <c r="H32" i="3" s="1"/>
  <c r="C4" i="13" s="1"/>
  <c r="I28" i="4"/>
  <c r="I14" i="4"/>
  <c r="I33" i="4" s="1"/>
  <c r="I35" i="7" s="1"/>
  <c r="I8" i="4"/>
  <c r="I27" i="3"/>
  <c r="I24" i="4"/>
  <c r="I54" i="2"/>
  <c r="K21" i="5"/>
  <c r="K38" i="2" s="1"/>
  <c r="Q12" i="6"/>
  <c r="Q9" i="3" s="1"/>
  <c r="Q27" i="2"/>
  <c r="Q18" i="6"/>
  <c r="P13" i="4"/>
  <c r="P31" i="7"/>
  <c r="J37" i="2"/>
  <c r="J40" i="2" s="1"/>
  <c r="J6" i="5"/>
  <c r="J29" i="7"/>
  <c r="J9" i="4"/>
  <c r="I25" i="4" l="1"/>
  <c r="I28" i="3"/>
  <c r="I29" i="3" s="1"/>
  <c r="J26" i="3" s="1"/>
  <c r="I30" i="4"/>
  <c r="J49" i="2"/>
  <c r="J34" i="7"/>
  <c r="J27" i="7"/>
  <c r="J35" i="4"/>
  <c r="J41" i="2"/>
  <c r="Q23" i="6"/>
  <c r="Q25" i="6" s="1"/>
  <c r="Q18" i="3"/>
  <c r="Q24" i="3" s="1"/>
  <c r="Q35" i="2"/>
  <c r="K22" i="5"/>
  <c r="K13" i="5"/>
  <c r="Q31" i="7" l="1"/>
  <c r="Q13" i="4"/>
  <c r="K9" i="4"/>
  <c r="K6" i="5"/>
  <c r="K29" i="7"/>
  <c r="K37" i="2"/>
  <c r="K40" i="2" s="1"/>
  <c r="K11" i="3"/>
  <c r="L18" i="5"/>
  <c r="K14" i="5"/>
  <c r="J39" i="7"/>
  <c r="J32" i="7"/>
  <c r="J50" i="2"/>
  <c r="J53" i="2" s="1"/>
  <c r="D5" i="13"/>
  <c r="I6" i="3"/>
  <c r="I15" i="3" s="1"/>
  <c r="I32" i="3" s="1"/>
  <c r="D4" i="13" s="1"/>
  <c r="J28" i="4"/>
  <c r="J8" i="4" l="1"/>
  <c r="J27" i="3"/>
  <c r="J14" i="4"/>
  <c r="J33" i="4" s="1"/>
  <c r="J35" i="7" s="1"/>
  <c r="J24" i="4"/>
  <c r="J54" i="2"/>
  <c r="F6" i="13"/>
  <c r="K42" i="7"/>
  <c r="L10" i="5"/>
  <c r="K10" i="3"/>
  <c r="L21" i="5"/>
  <c r="L38" i="2" s="1"/>
  <c r="K34" i="7"/>
  <c r="K27" i="7"/>
  <c r="K49" i="2"/>
  <c r="K35" i="4"/>
  <c r="K41" i="2"/>
  <c r="K50" i="2" l="1"/>
  <c r="K53" i="2" s="1"/>
  <c r="L13" i="5"/>
  <c r="L14" i="5" s="1"/>
  <c r="K39" i="7"/>
  <c r="K32" i="7"/>
  <c r="L22" i="5"/>
  <c r="J25" i="4"/>
  <c r="J30" i="4" s="1"/>
  <c r="J28" i="3"/>
  <c r="J29" i="3" s="1"/>
  <c r="K26" i="3" s="1"/>
  <c r="J6" i="3" l="1"/>
  <c r="J15" i="3" s="1"/>
  <c r="J32" i="3" s="1"/>
  <c r="E4" i="13" s="1"/>
  <c r="E5" i="13"/>
  <c r="K28" i="4"/>
  <c r="K8" i="4"/>
  <c r="K14" i="4"/>
  <c r="K33" i="4" s="1"/>
  <c r="K35" i="7" s="1"/>
  <c r="K27" i="3"/>
  <c r="K24" i="4"/>
  <c r="K54" i="2"/>
  <c r="L11" i="3"/>
  <c r="M18" i="5"/>
  <c r="L10" i="3"/>
  <c r="L42" i="7"/>
  <c r="G6" i="13"/>
  <c r="M10" i="5"/>
  <c r="L6" i="5"/>
  <c r="L9" i="4"/>
  <c r="L29" i="7"/>
  <c r="L37" i="2"/>
  <c r="L40" i="2" s="1"/>
  <c r="M21" i="5" l="1"/>
  <c r="M38" i="2" s="1"/>
  <c r="L34" i="7"/>
  <c r="L27" i="7"/>
  <c r="L49" i="2"/>
  <c r="L35" i="4"/>
  <c r="L41" i="2"/>
  <c r="M13" i="5"/>
  <c r="M14" i="5" s="1"/>
  <c r="K25" i="4"/>
  <c r="K30" i="4" s="1"/>
  <c r="K28" i="3"/>
  <c r="K29" i="3" s="1"/>
  <c r="L26" i="3" s="1"/>
  <c r="K6" i="3" l="1"/>
  <c r="K15" i="3" s="1"/>
  <c r="K32" i="3" s="1"/>
  <c r="F4" i="13" s="1"/>
  <c r="F5" i="13"/>
  <c r="L28" i="4"/>
  <c r="L50" i="2"/>
  <c r="L53" i="2" s="1"/>
  <c r="M10" i="3"/>
  <c r="N10" i="5"/>
  <c r="M6" i="5"/>
  <c r="M9" i="4"/>
  <c r="M29" i="7"/>
  <c r="M37" i="2"/>
  <c r="M40" i="2" s="1"/>
  <c r="L39" i="7"/>
  <c r="L32" i="7"/>
  <c r="M22" i="5"/>
  <c r="H6" i="13" s="1"/>
  <c r="L27" i="3" l="1"/>
  <c r="L8" i="4"/>
  <c r="L14" i="4"/>
  <c r="L33" i="4" s="1"/>
  <c r="L35" i="7" s="1"/>
  <c r="L24" i="4"/>
  <c r="L54" i="2"/>
  <c r="M11" i="3"/>
  <c r="N18" i="5"/>
  <c r="M34" i="7"/>
  <c r="M27" i="7"/>
  <c r="M49" i="2"/>
  <c r="M35" i="4"/>
  <c r="M41" i="2"/>
  <c r="M42" i="7"/>
  <c r="N13" i="5"/>
  <c r="N14" i="5" s="1"/>
  <c r="N10" i="3" l="1"/>
  <c r="O10" i="5"/>
  <c r="N37" i="2"/>
  <c r="N21" i="5"/>
  <c r="N38" i="2" s="1"/>
  <c r="M32" i="7"/>
  <c r="M39" i="7"/>
  <c r="M50" i="2"/>
  <c r="M53" i="2" s="1"/>
  <c r="L28" i="3"/>
  <c r="L29" i="3" s="1"/>
  <c r="M26" i="3" s="1"/>
  <c r="L25" i="4"/>
  <c r="L30" i="4" s="1"/>
  <c r="M27" i="3" l="1"/>
  <c r="M8" i="4"/>
  <c r="M14" i="4"/>
  <c r="M33" i="4" s="1"/>
  <c r="M35" i="7" s="1"/>
  <c r="M24" i="4"/>
  <c r="M54" i="2"/>
  <c r="L6" i="3"/>
  <c r="L15" i="3" s="1"/>
  <c r="L32" i="3" s="1"/>
  <c r="G4" i="13" s="1"/>
  <c r="G5" i="13"/>
  <c r="M28" i="4"/>
  <c r="N22" i="5"/>
  <c r="N29" i="7"/>
  <c r="N40" i="2"/>
  <c r="N6" i="5"/>
  <c r="N9" i="4"/>
  <c r="O13" i="5"/>
  <c r="O18" i="5" l="1"/>
  <c r="N11" i="3"/>
  <c r="I6" i="13"/>
  <c r="N42" i="7"/>
  <c r="N34" i="7"/>
  <c r="N49" i="2"/>
  <c r="N27" i="7"/>
  <c r="N35" i="4"/>
  <c r="N41" i="2"/>
  <c r="O37" i="2"/>
  <c r="O14" i="5"/>
  <c r="M25" i="4"/>
  <c r="M30" i="4" s="1"/>
  <c r="M28" i="3"/>
  <c r="M29" i="3" s="1"/>
  <c r="N26" i="3" s="1"/>
  <c r="H5" i="13" l="1"/>
  <c r="M6" i="3"/>
  <c r="M15" i="3" s="1"/>
  <c r="M32" i="3" s="1"/>
  <c r="H4" i="13" s="1"/>
  <c r="N28" i="4"/>
  <c r="O10" i="3"/>
  <c r="P10" i="5"/>
  <c r="N50" i="2"/>
  <c r="N53" i="2" s="1"/>
  <c r="N32" i="7"/>
  <c r="N39" i="7"/>
  <c r="O21" i="5"/>
  <c r="O22" i="5" s="1"/>
  <c r="N27" i="3" l="1"/>
  <c r="N8" i="4"/>
  <c r="N14" i="4"/>
  <c r="N33" i="4" s="1"/>
  <c r="N35" i="7" s="1"/>
  <c r="N24" i="4"/>
  <c r="N54" i="2"/>
  <c r="P18" i="5"/>
  <c r="O11" i="3"/>
  <c r="J6" i="13"/>
  <c r="O42" i="7"/>
  <c r="P13" i="5"/>
  <c r="O38" i="2"/>
  <c r="O40" i="2" s="1"/>
  <c r="O9" i="4"/>
  <c r="O29" i="7"/>
  <c r="O6" i="5"/>
  <c r="N25" i="4" l="1"/>
  <c r="N30" i="4" s="1"/>
  <c r="N28" i="3"/>
  <c r="N29" i="3" s="1"/>
  <c r="O26" i="3" s="1"/>
  <c r="O27" i="7"/>
  <c r="O49" i="2"/>
  <c r="O34" i="7"/>
  <c r="O35" i="4"/>
  <c r="O41" i="2"/>
  <c r="P37" i="2"/>
  <c r="P14" i="5"/>
  <c r="P21" i="5"/>
  <c r="P38" i="2" s="1"/>
  <c r="P40" i="2" l="1"/>
  <c r="P6" i="5"/>
  <c r="P9" i="4"/>
  <c r="P29" i="7"/>
  <c r="O32" i="7"/>
  <c r="O39" i="7"/>
  <c r="P22" i="5"/>
  <c r="K6" i="13"/>
  <c r="P10" i="3"/>
  <c r="Q10" i="5"/>
  <c r="P42" i="7"/>
  <c r="O50" i="2"/>
  <c r="O53" i="2" s="1"/>
  <c r="O28" i="4"/>
  <c r="I5" i="13"/>
  <c r="N6" i="3"/>
  <c r="N15" i="3" s="1"/>
  <c r="N32" i="3" s="1"/>
  <c r="I4" i="13" s="1"/>
  <c r="O27" i="3" l="1"/>
  <c r="O14" i="4"/>
  <c r="O33" i="4" s="1"/>
  <c r="O35" i="7" s="1"/>
  <c r="O8" i="4"/>
  <c r="O24" i="4"/>
  <c r="O54" i="2"/>
  <c r="Q13" i="5"/>
  <c r="Q18" i="5"/>
  <c r="P11" i="3"/>
  <c r="P27" i="7"/>
  <c r="P49" i="2"/>
  <c r="P34" i="7"/>
  <c r="P35" i="4"/>
  <c r="P41" i="2"/>
  <c r="P32" i="7" l="1"/>
  <c r="P39" i="7"/>
  <c r="P50" i="2"/>
  <c r="P53" i="2" s="1"/>
  <c r="Q21" i="5"/>
  <c r="Q38" i="2" s="1"/>
  <c r="Q37" i="2"/>
  <c r="Q14" i="5"/>
  <c r="O25" i="4"/>
  <c r="O30" i="4" s="1"/>
  <c r="O28" i="3"/>
  <c r="O29" i="3"/>
  <c r="P26" i="3" s="1"/>
  <c r="P28" i="4" l="1"/>
  <c r="J5" i="13"/>
  <c r="O6" i="3"/>
  <c r="O15" i="3" s="1"/>
  <c r="O32" i="3" s="1"/>
  <c r="J4" i="13" s="1"/>
  <c r="P27" i="3"/>
  <c r="P14" i="4"/>
  <c r="P33" i="4" s="1"/>
  <c r="P35" i="7" s="1"/>
  <c r="P8" i="4"/>
  <c r="P24" i="4"/>
  <c r="P54" i="2"/>
  <c r="Q40" i="2"/>
  <c r="Q9" i="4"/>
  <c r="Q10" i="3"/>
  <c r="Q6" i="5"/>
  <c r="Q29" i="7"/>
  <c r="Q22" i="5"/>
  <c r="Q11" i="3" s="1"/>
  <c r="P25" i="4" l="1"/>
  <c r="P28" i="3"/>
  <c r="P29" i="3" s="1"/>
  <c r="Q26" i="3" s="1"/>
  <c r="Q42" i="7"/>
  <c r="B11" i="7" s="1"/>
  <c r="L6" i="13"/>
  <c r="Q35" i="4"/>
  <c r="Q49" i="2"/>
  <c r="Q34" i="7"/>
  <c r="B10" i="7" s="1"/>
  <c r="B12" i="7" s="1"/>
  <c r="Q27" i="7"/>
  <c r="Q41" i="2"/>
  <c r="P30" i="4"/>
  <c r="Q50" i="2" l="1"/>
  <c r="Q53" i="2" s="1"/>
  <c r="Q28" i="4"/>
  <c r="K5" i="13"/>
  <c r="P6" i="3"/>
  <c r="P15" i="3" s="1"/>
  <c r="P32" i="3" s="1"/>
  <c r="K4" i="13" s="1"/>
  <c r="Q32" i="7"/>
  <c r="Q39" i="7"/>
  <c r="B9" i="7"/>
  <c r="Q27" i="3" l="1"/>
  <c r="Q14" i="4"/>
  <c r="Q33" i="4" s="1"/>
  <c r="Q35" i="7" s="1"/>
  <c r="Q24" i="4"/>
  <c r="Q8" i="4"/>
  <c r="Q54" i="2"/>
  <c r="Q25" i="4" l="1"/>
  <c r="Q30" i="4" s="1"/>
  <c r="Q28" i="3"/>
  <c r="Q29" i="3" s="1"/>
  <c r="Q6" i="3" l="1"/>
  <c r="Q15" i="3" s="1"/>
  <c r="Q32" i="3" s="1"/>
  <c r="L4" i="13" s="1"/>
  <c r="B9" i="13" s="1"/>
  <c r="L5" i="13"/>
  <c r="B6" i="1" l="1"/>
  <c r="B8" i="7"/>
  <c r="D6" i="8"/>
  <c r="B6" i="8"/>
  <c r="C5" i="8"/>
  <c r="D5" i="8"/>
  <c r="C4" i="8"/>
  <c r="B4" i="8"/>
  <c r="C6" i="8"/>
  <c r="B5" i="8"/>
  <c r="D4" i="8"/>
  <c r="B13" i="7" l="1"/>
  <c r="B14" i="7" s="1"/>
  <c r="B17" i="7" s="1"/>
  <c r="B19" i="7" s="1"/>
  <c r="B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smrik-fund</author>
  </authors>
  <commentList>
    <comment ref="B5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55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56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57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58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59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0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2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3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Expense / revenue assumption; default = reconciled TTM expense magnitude / revenue. Includes embedded D&amp;A/SBC..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  <comment ref="B6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Consolidated method; see allocations and caveats. Expense / revenue assumption; default = reconciled TTM expense magnitude / revenue. Includes embedded D&amp;A/SBC..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r>
      </text>
    </comment>
  </commentList>
</comments>
</file>

<file path=xl/sharedStrings.xml><?xml version="1.0" encoding="utf-8"?>
<sst xmlns="http://schemas.openxmlformats.org/spreadsheetml/2006/main" count="2094" uniqueCount="726">
  <si>
    <t>BATH &amp; BODY WORKS, INC. | E2E development model</t>
  </si>
  <si>
    <t>Measurement 2026-08-01; information cutoff 2026-09-16. All financial assumptions provisional.</t>
  </si>
  <si>
    <t>Metric</t>
  </si>
  <si>
    <t>Value</t>
  </si>
  <si>
    <t>Open Income</t>
  </si>
  <si>
    <t>Value per share</t>
  </si>
  <si>
    <t>Open BalanceSheet</t>
  </si>
  <si>
    <t>WACC</t>
  </si>
  <si>
    <t>Open CashFlow</t>
  </si>
  <si>
    <t>Calculation integrity</t>
  </si>
  <si>
    <t>Open History</t>
  </si>
  <si>
    <t>Decision readiness</t>
  </si>
  <si>
    <t>Screen-grade: provisional assumptions; financial review pending</t>
  </si>
  <si>
    <t>Open DCF</t>
  </si>
  <si>
    <t>Human financial approval</t>
  </si>
  <si>
    <t>FALSE</t>
  </si>
  <si>
    <t>Open Sensitivity</t>
  </si>
  <si>
    <t>Reviewer rationale</t>
  </si>
  <si>
    <t>Independent review pending</t>
  </si>
  <si>
    <t>Analyst rationale</t>
  </si>
  <si>
    <t>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</si>
  <si>
    <t>Caveat 1</t>
  </si>
  <si>
    <t>Consolidated development scenario: no segment forecast. Revenue growth controls the whole company; additional revenue slots are structural zeros, not missing source facts.</t>
  </si>
  <si>
    <t>Caveat 2</t>
  </si>
  <si>
    <t>Each FY/YTD reconciles to reported EBIT. Expense magnitudes are presentation conversions; signed facts remain in History/Evidence. Absent categories are not asserted to be zero. Forecast ratios start at TTM and include embedded D&amp;A/SBC; total D&amp;A is replaced once below EBITDA. No allocation of D&amp;A between COGS and SG&amp;A is claimed.</t>
  </si>
  <si>
    <t>Caveat 3</t>
  </si>
  <si>
    <t>Current operating assets/liabilities are explicit reported parent-minus-component groups and scale with revenue; tax accruals, leases and deferred revenue remain aggregated. No balance plugs.</t>
  </si>
  <si>
    <t>Caveat 4</t>
  </si>
  <si>
    <t>Only separately presented borrowing and investment amounts are isolated; components embedded in other balances remain there. Debt uses carrying values and constant refinancing; investments use carrying-value and scenario-yield proxies.</t>
  </si>
  <si>
    <t>Caveat 5</t>
  </si>
  <si>
    <t>Total historical D&amp;A is provisionally assigned to disclosed PPE/finite-intangible pools by carrying weights; forecast uses declining balance with half-period additions. Hidden intangible detail remains in other balances; no claim of sourced depreciation lives.</t>
  </si>
  <si>
    <t>Caveat 6</t>
  </si>
  <si>
    <t>Reported productive-asset capex, when combined, is allocated to the PP&amp;E schedule provisionally; PP&amp;E may include finance-lease ROU assets. Depreciation-only disclosures are not relabeled as separately sourced total amortization. Financed asset additions are not projected separately.</t>
  </si>
  <si>
    <t>Caveat 7</t>
  </si>
  <si>
    <t>Goodwill and other noncurrent balances are held flat. No future acquisitions or intangible additions by default; omitted additions may be a material scenario limitation.</t>
  </si>
  <si>
    <t>Caveat 8</t>
  </si>
  <si>
    <t>Where note detail is available, finance leases are reclassified into refinanced debt and nonmarketable investment components into the carrying-value bridge. Operating leases remain operating. Future asset additions are cash funded; no new finance leases are assumed.</t>
  </si>
  <si>
    <t>Caveat 9</t>
  </si>
  <si>
    <t>Default distributions are zero to retain cash for capital spending; analyst controls may change this. No automatic debt/cash plugs. Cash tax equals book tax; usable historical effective-tax ratio retained, otherwise explicit 25% normalized development tax rate (no NOL modeling). Future SBC remains expensed in UFCF, with a separate cash addback and equity contribution.</t>
  </si>
  <si>
    <t>Caveat 10</t>
  </si>
  <si>
    <t>Diluted weighted-average shares, or net income divided by rounded consolidated diluted EPS when the count is not on the face statement, are a valuation proxy; no separate award claim. Market-price, beta, yields and terminal growth are provisional scenarios, not observed investment inputs.</t>
  </si>
  <si>
    <t>Caveat 11</t>
  </si>
  <si>
    <t>Forecast dates use the reported fiscal year-end and a provisional 52-week or calendar-year extension. Annual-only cases start with a full forecast year.</t>
  </si>
  <si>
    <t>Caveat 12</t>
  </si>
  <si>
    <t>Terminal reinvestment is growth times closing operating capital; future excess cash is not added again. Human financial approval is false.</t>
  </si>
  <si>
    <t>Caveat 13</t>
  </si>
  <si>
    <t>Reported TTM earnings remain unadjusted in this baseline, including one-off gains; the weekend brief separately bridges guidance to analytical earnings. This DCF is an editable mechanics baseline, not a target price.</t>
  </si>
  <si>
    <t>Caveat 14</t>
  </si>
  <si>
    <t>A constant growth rate over the whole forecast is not management guidance or a segment turnaround forecast. Retained cash, no buybacks/dividends or net new borrowing, fixed diluted-share proxy, constant debt refinancing; no distribution return is modeled.</t>
  </si>
  <si>
    <t>Caveat 15</t>
  </si>
  <si>
    <t>Risk-free rate, ERP, beta, debt rate and asset-life assumptions are provisional sensitivity inputs. Debt and minority interest use carrying-value proxies.</t>
  </si>
  <si>
    <t>Local edits</t>
  </si>
  <si>
    <t>Editable inputs invalidate attached review; arbitrary formula changes are not certified. Rebuild through CLI for a new reviewed version.</t>
  </si>
  <si>
    <t>BBWI — Income</t>
  </si>
  <si>
    <t>USD millions. Actuals | TTM / latest balances | annual forecasts. Blank = unavailable or not comparable.</t>
  </si>
  <si>
    <t>Line</t>
  </si>
  <si>
    <t>FY2021A
2022-01-29</t>
  </si>
  <si>
    <t>FY2022A
2023-01-28</t>
  </si>
  <si>
    <t>FY2023A
2024-02-03</t>
  </si>
  <si>
    <t>FY2024A
2025-02-01</t>
  </si>
  <si>
    <t>FY2025A
2026-01-31</t>
  </si>
  <si>
    <t>TTM
2026-08-01</t>
  </si>
  <si>
    <t>FY2027E
2028-01-29</t>
  </si>
  <si>
    <t>FY2028E
2029-01-27</t>
  </si>
  <si>
    <t>FY2029E
2030-01-26</t>
  </si>
  <si>
    <t>FY2030E
2031-01-25</t>
  </si>
  <si>
    <t>FY2031E
2032-01-24</t>
  </si>
  <si>
    <t>FY2032E
2033-01-22</t>
  </si>
  <si>
    <t>FY2033E
2034-01-21</t>
  </si>
  <si>
    <t>FY2034E
2035-01-20</t>
  </si>
  <si>
    <t>FY2035E
2036-01-19</t>
  </si>
  <si>
    <t>FY2036E
2037-01-17</t>
  </si>
  <si>
    <t>Period fraction (364-day fiscal basis)</t>
  </si>
  <si>
    <t>Revenue</t>
  </si>
  <si>
    <t>Revenue growth</t>
  </si>
  <si>
    <t>Cost of revenue</t>
  </si>
  <si>
    <t>Cost of revenue / revenue</t>
  </si>
  <si>
    <t>Gross profit before D&amp;A replacement</t>
  </si>
  <si>
    <t>Gross margin before D&amp;A replacement</t>
  </si>
  <si>
    <t>SG&amp;A</t>
  </si>
  <si>
    <t>SG&amp;A / revenue</t>
  </si>
  <si>
    <t>R&amp;D</t>
  </si>
  <si>
    <t>R&amp;D / revenue</t>
  </si>
  <si>
    <t>Total costs before D&amp;A replacement</t>
  </si>
  <si>
    <t>Total costs / revenue</t>
  </si>
  <si>
    <t>Estimated embedded D&amp;A removed</t>
  </si>
  <si>
    <t>Embedded reported D&amp;A / revenue</t>
  </si>
  <si>
    <t>EBITDA proxy (EBIT + total D&amp;A)</t>
  </si>
  <si>
    <t>EBITDA margin</t>
  </si>
  <si>
    <t>Scheduled PP&amp;E depreciation</t>
  </si>
  <si>
    <t>Scheduled intangible amortization</t>
  </si>
  <si>
    <t>EBIT</t>
  </si>
  <si>
    <t>EBIT margin</t>
  </si>
  <si>
    <t>Interest expense (actuals: reported sign)</t>
  </si>
  <si>
    <t>Debt interest rate</t>
  </si>
  <si>
    <t>Investment income (scenario risk-free yield)</t>
  </si>
  <si>
    <t>Investment yield</t>
  </si>
  <si>
    <t>Pretax income</t>
  </si>
  <si>
    <t>Book/cash tax (same timing assumption)</t>
  </si>
  <si>
    <t>Tax rate</t>
  </si>
  <si>
    <t>Net income</t>
  </si>
  <si>
    <t>Net income margin</t>
  </si>
  <si>
    <t>Reported discontinued-operations income</t>
  </si>
  <si>
    <t>Reported continuing-operations income</t>
  </si>
  <si>
    <t>Revenue grows from the preceding fiscal year; first full year uses YTD + Stub. Gross profit retains embedded D&amp;A ratios; total D&amp;A is replaced once below EBITDA. SBC remains expensed. EBITDA uses the disclosed D&amp;A aggregate as a proxy; no issuer-adjusted EBITDA is claimed. Each FY/YTD reconciles to reported EBIT. Expense magnitudes are presentation conversions; signed facts remain in History/Evidence. Absent categories are not asserted to be zero. Forecast ratios start at TTM and include embedded D&amp;A/SBC; total D&amp;A is replaced once below EBITDA. No allocation of D&amp;A between COGS and SG&amp;A is claimed.</t>
  </si>
  <si>
    <t>BBWI — BalanceSheet</t>
  </si>
  <si>
    <t>Latest balance
2026-08-01</t>
  </si>
  <si>
    <t>Cash</t>
  </si>
  <si>
    <t>Marketable securities</t>
  </si>
  <si>
    <t>Operating current assets</t>
  </si>
  <si>
    <t>Other modeled current assets</t>
  </si>
  <si>
    <t>PP&amp;E</t>
  </si>
  <si>
    <t>Finite intangibles</t>
  </si>
  <si>
    <t>Other noncurrent assets</t>
  </si>
  <si>
    <t>Total assets</t>
  </si>
  <si>
    <t>Operating current liabilities</t>
  </si>
  <si>
    <t>Debt</t>
  </si>
  <si>
    <t>Other current liabilities (held flat; includes tax/accrual uncertainty)</t>
  </si>
  <si>
    <t>Other noncurrent liabilities</t>
  </si>
  <si>
    <t>Deferred revenue</t>
  </si>
  <si>
    <t>Total liabilities</t>
  </si>
  <si>
    <t>Opening equity</t>
  </si>
  <si>
    <t>Net income + SBC equity contribution</t>
  </si>
  <si>
    <t>Shareholder distributions (equity deduction)</t>
  </si>
  <si>
    <t>Closing equity</t>
  </si>
  <si>
    <t>Balance check</t>
  </si>
  <si>
    <t>Reported accounts receivable (included above)</t>
  </si>
  <si>
    <t>Reported inventory (included above)</t>
  </si>
  <si>
    <t>Reported accounts payable (included above)</t>
  </si>
  <si>
    <t>BBWI — CashFlow</t>
  </si>
  <si>
    <t>Depreciation and amortization</t>
  </si>
  <si>
    <t>SBC cash-flow addback / equity contribution</t>
  </si>
  <si>
    <t>SBC / revenue</t>
  </si>
  <si>
    <t>Change in operating NWC (cash use)</t>
  </si>
  <si>
    <t>CFO</t>
  </si>
  <si>
    <t>Cash PP&amp;E additions (cash use)</t>
  </si>
  <si>
    <t>Cash intangible additions (cash use)</t>
  </si>
  <si>
    <t>CFI</t>
  </si>
  <si>
    <t>Distribution payout ratio</t>
  </si>
  <si>
    <t>Cash shareholder distributions (dividend-equivalent policy)</t>
  </si>
  <si>
    <t>CFF (zero net debt issuance; refinancing assumption)</t>
  </si>
  <si>
    <t>Opening cash</t>
  </si>
  <si>
    <t>Closing cash</t>
  </si>
  <si>
    <t>Cash FCF (CFO + CFI)</t>
  </si>
  <si>
    <t>Economic UFCF (SBC remains expensed)</t>
  </si>
  <si>
    <t>BBWI — PP&amp;E and finite intangibles</t>
  </si>
  <si>
    <t>Depreciation / amortization aggregate</t>
  </si>
  <si>
    <t>Estimated embedded PP&amp;E component (diagnostic)</t>
  </si>
  <si>
    <t>Opening PP&amp;E</t>
  </si>
  <si>
    <t>Cash PP&amp;E additions / revenue</t>
  </si>
  <si>
    <t>PP&amp;E depreciation: declining balance + half-period additions</t>
  </si>
  <si>
    <t>Closing PP&amp;E</t>
  </si>
  <si>
    <t>PP&amp;E depreciation life (years)</t>
  </si>
  <si>
    <t>Opening finite intangibles</t>
  </si>
  <si>
    <t>Cash intangible additions (estimated)</t>
  </si>
  <si>
    <t>Intangible additions / revenue</t>
  </si>
  <si>
    <t>Intangible amortization: declining balance</t>
  </si>
  <si>
    <t>Closing total intangibles</t>
  </si>
  <si>
    <t>Intangible amortization life (years)</t>
  </si>
  <si>
    <t>BBWI — Working capital</t>
  </si>
  <si>
    <t>Operating current assets / annualized revenue</t>
  </si>
  <si>
    <t>vendor_receivables</t>
  </si>
  <si>
    <t>Inventory</t>
  </si>
  <si>
    <t>Inventory / operating expenses</t>
  </si>
  <si>
    <t>Other current operating assets excluding disclosed intangibles</t>
  </si>
  <si>
    <t>Operating current liabilities / operating expenses</t>
  </si>
  <si>
    <t>Operating NWC</t>
  </si>
  <si>
    <t>Change in NWC (historical balance movement)</t>
  </si>
  <si>
    <t>BBWI — provisional DCF</t>
  </si>
  <si>
    <t>Development assumptions; USD millions except value/share. Terminal capital normalization; no future cash double count.</t>
  </si>
  <si>
    <t>Cost of equity</t>
  </si>
  <si>
    <t>Debt weight</t>
  </si>
  <si>
    <t>Terminal growth</t>
  </si>
  <si>
    <t>Valuation gate</t>
  </si>
  <si>
    <t>PV of explicit UFCF</t>
  </si>
  <si>
    <t>Terminal NOPAT</t>
  </si>
  <si>
    <t>Terminal net reinvestment incl NWC</t>
  </si>
  <si>
    <t>Terminal UFCF</t>
  </si>
  <si>
    <t>PV terminal value</t>
  </si>
  <si>
    <t>Enterprise value</t>
  </si>
  <si>
    <t>Opening cash + marketable securities</t>
  </si>
  <si>
    <t>Debt claim at carrying-value proxy</t>
  </si>
  <si>
    <t>Equity value</t>
  </si>
  <si>
    <t>Diluted share-count proxy</t>
  </si>
  <si>
    <t>Attached review status</t>
  </si>
  <si>
    <t>Minority interest claim at carrying-value proxy</t>
  </si>
  <si>
    <t>PV of remaining fiscal-year cash flows</t>
  </si>
  <si>
    <t>Past periods are context only. Initial remainder is in Stub; annual forecast PV excludes it here.</t>
  </si>
  <si>
    <t>Depreciation / amortization</t>
  </si>
  <si>
    <t>Cash capital investment (cash use)</t>
  </si>
  <si>
    <t>Change in NWC (cash use)</t>
  </si>
  <si>
    <t>Economic UFCF</t>
  </si>
  <si>
    <t>Unlevered NOPAT</t>
  </si>
  <si>
    <t>Cash FCF</t>
  </si>
  <si>
    <t>Discount factor</t>
  </si>
  <si>
    <t>PV of annual UFCF</t>
  </si>
  <si>
    <t>Operating capital for normalized terminal reinvestment</t>
  </si>
  <si>
    <t>Elapsed years (ACT/365)</t>
  </si>
  <si>
    <t>Beta / terminal-growth sensitivity</t>
  </si>
  <si>
    <t>USD/share. All cells recalculate from the same schedules.</t>
  </si>
  <si>
    <t>Beta</t>
  </si>
  <si>
    <t>Growth −0.5pp</t>
  </si>
  <si>
    <t>Base growth</t>
  </si>
  <si>
    <t>Growth +0.5pp</t>
  </si>
  <si>
    <t>Source values and editable development assumptions</t>
  </si>
  <si>
    <t>USD millions / million shares; ratio inputs decimal. Blue cells editable; edits invalidate review.</t>
  </si>
  <si>
    <t>Input</t>
  </si>
  <si>
    <t>Basis</t>
  </si>
  <si>
    <t>cash</t>
  </si>
  <si>
    <t>Consolidated method; see allocations and caveats. Reported value or explicit derived group; structural zeros identify detail grouped elsewhere. See Evidence.</t>
  </si>
  <si>
    <t>short_investments</t>
  </si>
  <si>
    <t>long_investments</t>
  </si>
  <si>
    <t>Operating current assets (derived aggregate)</t>
  </si>
  <si>
    <t>inventory</t>
  </si>
  <si>
    <t>other_current_assets</t>
  </si>
  <si>
    <t>ppe</t>
  </si>
  <si>
    <t>intangibles_noncurrent</t>
  </si>
  <si>
    <t>intangibles_current</t>
  </si>
  <si>
    <t>other_noncurrent_assets</t>
  </si>
  <si>
    <t>Operating current liabilities (derived aggregate)</t>
  </si>
  <si>
    <t>deferred_revenue</t>
  </si>
  <si>
    <t>other_current_liabilities</t>
  </si>
  <si>
    <t>commercial_paper</t>
  </si>
  <si>
    <t>current_debt</t>
  </si>
  <si>
    <t>long_debt</t>
  </si>
  <si>
    <t>other_noncurrent_liabilities</t>
  </si>
  <si>
    <t>equity</t>
  </si>
  <si>
    <t>assets</t>
  </si>
  <si>
    <t>liabilities</t>
  </si>
  <si>
    <t>minority_interest_proxy</t>
  </si>
  <si>
    <t>shares_proxy</t>
  </si>
  <si>
    <t>Consolidated method; see allocations and caveats. Reported diluted quarterly weighted-average shares; development valuation proxy, not point-in-time shares</t>
  </si>
  <si>
    <t>ttm_revenue</t>
  </si>
  <si>
    <t>Consolidated method; see allocations and caveats. Derived FY + current YTD − prior YTD; reported signs preserved</t>
  </si>
  <si>
    <t>ttm_ebit</t>
  </si>
  <si>
    <t>ttm_net_income</t>
  </si>
  <si>
    <t>ttm_tax</t>
  </si>
  <si>
    <t>ttm_da</t>
  </si>
  <si>
    <t>ttm_sbc</t>
  </si>
  <si>
    <t>ttm_capex_cash</t>
  </si>
  <si>
    <t>ttm_cfo</t>
  </si>
  <si>
    <t>ttm_cfi</t>
  </si>
  <si>
    <t>ttm_cff</t>
  </si>
  <si>
    <t>ttm_tax_reported</t>
  </si>
  <si>
    <t>ttm_pretax</t>
  </si>
  <si>
    <t>ttm_cost_of_sales</t>
  </si>
  <si>
    <t>ttm_research</t>
  </si>
  <si>
    <t>ttm_sga</t>
  </si>
  <si>
    <t>ttm_cost_cogs</t>
  </si>
  <si>
    <t>ttm_cost_sga</t>
  </si>
  <si>
    <t>Consolidated revenue — annual</t>
  </si>
  <si>
    <t>Consolidated method; see allocations and caveats. Consolidated reported revenue; separate-category slots are structural zeros. History and Evidence.</t>
  </si>
  <si>
    <t>Consolidated revenue — current_ytd</t>
  </si>
  <si>
    <t>Consolidated revenue — prior_ytd</t>
  </si>
  <si>
    <t>Consolidated revenue — ttm</t>
  </si>
  <si>
    <t>Separate-category structural zero — annual</t>
  </si>
  <si>
    <t>Separate-category structural zero — current_ytd</t>
  </si>
  <si>
    <t>Separate-category structural zero — prior_ytd</t>
  </si>
  <si>
    <t>Separate-category structural zero — ttm</t>
  </si>
  <si>
    <t>normalized_tax_rate</t>
  </si>
  <si>
    <t>Consolidated method; see allocations and caveats. Historical effective rate when usable; otherwise explicit 25% development normalization. Reported tax remains in History.</t>
  </si>
  <si>
    <t>estimated_ttm_ppe_depreciation</t>
  </si>
  <si>
    <t>Consolidated method; see allocations and caveats. ESTIMATE: disclosed annual PP&amp;E / annual combined D&amp;A × TTM combined D&amp;A</t>
  </si>
  <si>
    <t>Consolidated revenue growth</t>
  </si>
  <si>
    <t>Consolidated method; see allocations and caveats. AGENT-SELECTED DEVELOPMENT ASSUMPTION; not a sourced market observation</t>
  </si>
  <si>
    <t>Unused separate-revenue growth</t>
  </si>
  <si>
    <t>ppe_life</t>
  </si>
  <si>
    <t>intangible_life</t>
  </si>
  <si>
    <t>intangible_additions_ratio</t>
  </si>
  <si>
    <t>payout_ratio</t>
  </si>
  <si>
    <t>risk_free</t>
  </si>
  <si>
    <t>equity_premium</t>
  </si>
  <si>
    <t>beta</t>
  </si>
  <si>
    <t>debt_rate</t>
  </si>
  <si>
    <t>terminal_growth</t>
  </si>
  <si>
    <t>share_price_proxy</t>
  </si>
  <si>
    <t>cogs_ratio</t>
  </si>
  <si>
    <t>Consolidated method; see allocations and caveats. Expense / revenue assumption; default = reconciled TTM expense magnitude / revenue. Includes embedded D&amp;A/SBC.</t>
  </si>
  <si>
    <t>sga_ratio</t>
  </si>
  <si>
    <t>Historical observations and explicit derived groups</t>
  </si>
  <si>
    <t>Latest available comparative presentation per statement and period within the frozen cutoff; missing/ambiguous values remain blank. Different filing editions are identified in Evidence. Balance sheets are dated observations, never TTM sums.</t>
  </si>
  <si>
    <t>continuing_income</t>
  </si>
  <si>
    <t>sga_reported</t>
  </si>
  <si>
    <t>research_reported</t>
  </si>
  <si>
    <t>revenue</t>
  </si>
  <si>
    <t>cost_of_revenue</t>
  </si>
  <si>
    <t>gross_profit</t>
  </si>
  <si>
    <t>ebit</t>
  </si>
  <si>
    <t>pretax</t>
  </si>
  <si>
    <t>tax_reported</t>
  </si>
  <si>
    <t>net_income</t>
  </si>
  <si>
    <t>discontinued_income</t>
  </si>
  <si>
    <t>minority_income</t>
  </si>
  <si>
    <t>interest_reported</t>
  </si>
  <si>
    <t>receivables_reported</t>
  </si>
  <si>
    <t>inventory_reported</t>
  </si>
  <si>
    <t>payables_reported</t>
  </si>
  <si>
    <t>current_assets</t>
  </si>
  <si>
    <t>current_liabilities</t>
  </si>
  <si>
    <t>intangibles</t>
  </si>
  <si>
    <t>liabilities_equity</t>
  </si>
  <si>
    <t>equity_parent</t>
  </si>
  <si>
    <t>equity_total</t>
  </si>
  <si>
    <t>minority</t>
  </si>
  <si>
    <t>da</t>
  </si>
  <si>
    <t>sbc</t>
  </si>
  <si>
    <t>capex_cash</t>
  </si>
  <si>
    <t>cfo</t>
  </si>
  <si>
    <t>cfi</t>
  </si>
  <si>
    <t>cff</t>
  </si>
  <si>
    <t>cost_cogs</t>
  </si>
  <si>
    <t>cost_sga</t>
  </si>
  <si>
    <t>cost_research</t>
  </si>
  <si>
    <t>operating_costs</t>
  </si>
  <si>
    <t>operating_current_assets</t>
  </si>
  <si>
    <t>operating_current_liabilities</t>
  </si>
  <si>
    <t>tax_expense</t>
  </si>
  <si>
    <t>tax</t>
  </si>
  <si>
    <t>cost_of_sales</t>
  </si>
  <si>
    <t>research</t>
  </si>
  <si>
    <t>sga</t>
  </si>
  <si>
    <t>operating_expenses</t>
  </si>
  <si>
    <t>cash_fcf</t>
  </si>
  <si>
    <t>TTM reconstruction — flows only</t>
  </si>
  <si>
    <t>FY ended 2026-01-31</t>
  </si>
  <si>
    <t>Current YTD 2026-08-01</t>
  </si>
  <si>
    <t>Prior YTD 2025-08-02</t>
  </si>
  <si>
    <t>Derived TTM</t>
  </si>
  <si>
    <t>Historical comparability</t>
  </si>
  <si>
    <t>FY2021: reported net income includes discontinued operations; it is not a like-for-like continuing-operations earnings trend.</t>
  </si>
  <si>
    <t>FY2022: reported net income includes discontinued operations; it is not a like-for-like continuing-operations earnings trend.</t>
  </si>
  <si>
    <t>Fiscal period length</t>
  </si>
  <si>
    <t>BBWI — remaining fiscal-year cash flows</t>
  </si>
  <si>
    <t>Future remainder only; not TTM. Main statements compare full annual periods.</t>
  </si>
  <si>
    <t>USD millions</t>
  </si>
  <si>
    <t>FY2026_STUB</t>
  </si>
  <si>
    <t>Consolidated revenue</t>
  </si>
  <si>
    <t>Separate-category revenue</t>
  </si>
  <si>
    <t>Total operating expenses (revenue minus EBIT)</t>
  </si>
  <si>
    <t>R&amp;D included in aggregate expenses</t>
  </si>
  <si>
    <t>SG&amp;A included in aggregate expenses</t>
  </si>
  <si>
    <t>Gross operating costs (includes embedded D&amp;A and SBC)</t>
  </si>
  <si>
    <t>Cash PP&amp;E additions</t>
  </si>
  <si>
    <t>Opening total intangibles</t>
  </si>
  <si>
    <t>Change in NWC</t>
  </si>
  <si>
    <t>Interest expense on constant refinanced debt</t>
  </si>
  <si>
    <t>Balance difference (no cash/equity plug)</t>
  </si>
  <si>
    <t>Mechanical and review gates</t>
  </si>
  <si>
    <t>PASS only covers the explicitly implemented relationships; source/estimate caveats remain.</t>
  </si>
  <si>
    <t>Check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</si>
  <si>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</si>
  <si>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</si>
  <si>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</si>
  <si>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</si>
  <si>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</si>
  <si>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</si>
  <si>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</si>
  <si>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</si>
  <si>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</si>
  <si>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</si>
  <si>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Balance equation</t>
  </si>
  <si>
    <t>Cash funded without plug</t>
  </si>
  <si>
    <t>Asset carrying values nonnegative</t>
  </si>
  <si>
    <t>Required numeric/valid inputs</t>
  </si>
  <si>
    <t>Local inputs unchanged</t>
  </si>
  <si>
    <t>Combined mechanical gate</t>
  </si>
  <si>
    <t>Frozen source audit trail</t>
  </si>
  <si>
    <t>CSV values are EdgarTools standard values. Display conversion explicitly divides by 1,000,000.</t>
  </si>
  <si>
    <t>ID</t>
  </si>
  <si>
    <t>File / calculation basis</t>
  </si>
  <si>
    <t>Line / CSV record</t>
  </si>
  <si>
    <t>Concept</t>
  </si>
  <si>
    <t>Source period</t>
  </si>
  <si>
    <t>Display value</t>
  </si>
  <si>
    <t>Units</t>
  </si>
  <si>
    <t>SEC filing URL</t>
  </si>
  <si>
    <t>H1</t>
  </si>
  <si>
    <t>0000701985-24-000010/income_statement.csv</t>
  </si>
  <si>
    <t>us-gaap_IncomeLossFromContinuingOperations</t>
  </si>
  <si>
    <t>2022-01-29 (FY)</t>
  </si>
  <si>
    <t>https://www.sec.gov/Archives/edgar/data/701985/0000701985-24-000010-index.html</t>
  </si>
  <si>
    <t>H2</t>
  </si>
  <si>
    <t>us-gaap_SellingGeneralAndAdministrativeExpense</t>
  </si>
  <si>
    <t>H3</t>
  </si>
  <si>
    <t>us-gaap_RevenueFromContractWithCustomerExcludingAssessedTax</t>
  </si>
  <si>
    <t>H4</t>
  </si>
  <si>
    <t>us-gaap_CostOfGoodsAndServicesSold</t>
  </si>
  <si>
    <t>H5</t>
  </si>
  <si>
    <t>us-gaap_GrossProfit</t>
  </si>
  <si>
    <t>H6</t>
  </si>
  <si>
    <t>us-gaap_OperatingIncomeLoss</t>
  </si>
  <si>
    <t>H7</t>
  </si>
  <si>
    <t>us-gaap_IncomeLossFromContinuingOperationsBeforeIncomeTaxesExtraordinaryItemsNoncontrollingInterest</t>
  </si>
  <si>
    <t>H8</t>
  </si>
  <si>
    <t>us-gaap_IncomeTaxExpenseBenefit</t>
  </si>
  <si>
    <t>H9</t>
  </si>
  <si>
    <t>us-gaap_NetIncomeLoss</t>
  </si>
  <si>
    <t>H10</t>
  </si>
  <si>
    <t>us-gaap_IncomeLossFromDiscontinuedOperationsNetOfTaxAttributableToReportingEntity</t>
  </si>
  <si>
    <t>H11</t>
  </si>
  <si>
    <t>us-gaap_InterestExpense</t>
  </si>
  <si>
    <t>H12</t>
  </si>
  <si>
    <t>0000701985-23-000008/balance_sheet.csv</t>
  </si>
  <si>
    <t>us-gaap_CashAndCashEquivalentsAtCarryingValue</t>
  </si>
  <si>
    <t>2022-01-29</t>
  </si>
  <si>
    <t>https://www.sec.gov/Archives/edgar/data/701985/0000701985-23-000008-index.html</t>
  </si>
  <si>
    <t>H13</t>
  </si>
  <si>
    <t>us-gaap_AccountsReceivableNetCurrent</t>
  </si>
  <si>
    <t>H14</t>
  </si>
  <si>
    <t>us-gaap_InventoryNet</t>
  </si>
  <si>
    <t>H15</t>
  </si>
  <si>
    <t>us-gaap_AccountsPayableCurrent</t>
  </si>
  <si>
    <t>H16</t>
  </si>
  <si>
    <t>us-gaap_AssetsCurrent</t>
  </si>
  <si>
    <t>H17</t>
  </si>
  <si>
    <t>us-gaap_LiabilitiesCurrent</t>
  </si>
  <si>
    <t>H18</t>
  </si>
  <si>
    <t>us-gaap_PropertyPlantAndEquipmentNet</t>
  </si>
  <si>
    <t>H19</t>
  </si>
  <si>
    <t>us-gaap_Assets</t>
  </si>
  <si>
    <t>H20</t>
  </si>
  <si>
    <t>us-gaap_LiabilitiesAndStockholdersEquity</t>
  </si>
  <si>
    <t>H21</t>
  </si>
  <si>
    <t>us-gaap_StockholdersEquity</t>
  </si>
  <si>
    <t>H22</t>
  </si>
  <si>
    <t>us-gaap_StockholdersEquityIncludingPortionAttributableToNoncontrollingInterest</t>
  </si>
  <si>
    <t>H23</t>
  </si>
  <si>
    <t>us-gaap_MinorityInterest</t>
  </si>
  <si>
    <t>H24</t>
  </si>
  <si>
    <t>us-gaap_LongTermDebtNoncurrent</t>
  </si>
  <si>
    <t>H25</t>
  </si>
  <si>
    <t>0000701985-24-000010/cash_flow_statement.csv</t>
  </si>
  <si>
    <t>us-gaap_Depreciation</t>
  </si>
  <si>
    <t>H26</t>
  </si>
  <si>
    <t>us-gaap_ShareBasedCompensation</t>
  </si>
  <si>
    <t>H27</t>
  </si>
  <si>
    <t>us-gaap_PaymentsToAcquirePropertyPlantAndEquipment</t>
  </si>
  <si>
    <t>H28</t>
  </si>
  <si>
    <t>us-gaap_NetCashProvidedByUsedInOperatingActivities</t>
  </si>
  <si>
    <t>H29</t>
  </si>
  <si>
    <t>us-gaap_NetCashProvidedByUsedInInvestingActivities</t>
  </si>
  <si>
    <t>H30</t>
  </si>
  <si>
    <t>us-gaap_NetCashProvidedByUsedInFinancingActivities</t>
  </si>
  <si>
    <t>H31</t>
  </si>
  <si>
    <t>0000701985-25-000011/income_statement.csv</t>
  </si>
  <si>
    <t>2023-01-28 (FY)</t>
  </si>
  <si>
    <t>https://www.sec.gov/Archives/edgar/data/701985/0000701985-25-000011-index.html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</si>
  <si>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</si>
  <si>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</si>
  <si>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</si>
  <si>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</si>
  <si>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</si>
  <si>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</si>
  <si>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</si>
  <si>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</si>
  <si>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</si>
  <si>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</si>
  <si>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</si>
  <si>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0000701985-24-000010/balance_sheet.csv</t>
  </si>
  <si>
    <t>2023-01-28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</si>
  <si>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</si>
  <si>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</si>
  <si>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</si>
  <si>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</si>
  <si>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</si>
  <si>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</si>
  <si>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</si>
  <si>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</si>
  <si>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</si>
  <si>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</si>
  <si>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</si>
  <si>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</si>
  <si>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</si>
  <si>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0000701985-25-000011/cash_flow_statement.csv</t>
  </si>
  <si>
    <t>H56</t>
  </si>
  <si>
    <t>H57</t>
  </si>
  <si>
    <t>H58</t>
  </si>
  <si>
    <t>H59</t>
  </si>
  <si>
    <t>H60</t>
  </si>
  <si>
    <t>H61</t>
  </si>
  <si>
    <t>0000701985-26-000008/income_statement.csv</t>
  </si>
  <si>
    <t>2024-02-03 (FY)</t>
  </si>
  <si>
    <t>https://www.sec.gov/Archives/edgar/data/701985/0000701985-26-000008-index.html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</si>
  <si>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</si>
  <si>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</si>
  <si>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</si>
  <si>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</si>
  <si>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</si>
  <si>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</si>
  <si>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</si>
  <si>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</si>
  <si>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</si>
  <si>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0000701985-25-000011/balance_sheet.csv</t>
  </si>
  <si>
    <t>2024-02-03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</si>
  <si>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</si>
  <si>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</si>
  <si>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</si>
  <si>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</si>
  <si>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</si>
  <si>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</si>
  <si>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</si>
  <si>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</si>
  <si>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</si>
  <si>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</si>
  <si>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</si>
  <si>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</si>
  <si>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</si>
  <si>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0000701985-26-000008/cash_flow_statement.csv</t>
  </si>
  <si>
    <t>H84</t>
  </si>
  <si>
    <t>H85</t>
  </si>
  <si>
    <t>H86</t>
  </si>
  <si>
    <t>H87</t>
  </si>
  <si>
    <t>H88</t>
  </si>
  <si>
    <t>H89</t>
  </si>
  <si>
    <t>2025-02-01 (FY)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</si>
  <si>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</si>
  <si>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</si>
  <si>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</si>
  <si>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</si>
  <si>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</si>
  <si>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</si>
  <si>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</si>
  <si>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</si>
  <si>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</si>
  <si>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0000701985-26-000008/balance_sheet.csv</t>
  </si>
  <si>
    <t>2025-02-01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</si>
  <si>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</si>
  <si>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</si>
  <si>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</si>
  <si>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</si>
  <si>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</si>
  <si>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</si>
  <si>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</si>
  <si>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</si>
  <si>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</si>
  <si>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</si>
  <si>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</si>
  <si>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</si>
  <si>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us-gaap_DebtCurrent</t>
  </si>
  <si>
    <t>H111</t>
  </si>
  <si>
    <t>H112</t>
  </si>
  <si>
    <t>H113</t>
  </si>
  <si>
    <t>H114</t>
  </si>
  <si>
    <t>H115</t>
  </si>
  <si>
    <t>H116</t>
  </si>
  <si>
    <t>H117</t>
  </si>
  <si>
    <t>H118</t>
  </si>
  <si>
    <t>2026-01-31 (FY)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</si>
  <si>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</si>
  <si>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</si>
  <si>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</si>
  <si>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</si>
  <si>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</si>
  <si>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</si>
  <si>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</si>
  <si>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</si>
  <si>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</si>
  <si>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2026-01-31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</si>
  <si>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</si>
  <si>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</si>
  <si>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</si>
  <si>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</si>
  <si>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</si>
  <si>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</si>
  <si>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</si>
  <si>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</si>
  <si>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</si>
  <si>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</si>
  <si>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</si>
  <si>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</si>
  <si>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</si>
  <si>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</si>
  <si>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</si>
  <si>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</si>
  <si>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</si>
  <si>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</si>
  <si>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</si>
  <si>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S147</t>
  </si>
  <si>
    <t>0000701985-26-000029/balance_sheet.csv</t>
  </si>
  <si>
    <t>CashAndCashEquivalentsAtCarryingValue</t>
  </si>
  <si>
    <t>2026-08-01</t>
  </si>
  <si>
    <t>S148</t>
  </si>
  <si>
    <t>Assets</t>
  </si>
  <si>
    <t>S149</t>
  </si>
  <si>
    <t>AssetsCurrent</t>
  </si>
  <si>
    <t>S150</t>
  </si>
  <si>
    <t>LiabilitiesCurrent</t>
  </si>
  <si>
    <t>S151</t>
  </si>
  <si>
    <t>S152</t>
  </si>
  <si>
    <t>DeferredIncomeTaxLiabilitiesNet</t>
  </si>
  <si>
    <t>S153</t>
  </si>
  <si>
    <t>LongTermDebtNoncurrent</t>
  </si>
  <si>
    <t>S154</t>
  </si>
  <si>
    <t>OperatingLeaseLiabilityNoncurrent</t>
  </si>
  <si>
    <t>S155</t>
  </si>
  <si>
    <t>OtherLiabilitiesNoncurrent</t>
  </si>
  <si>
    <t>S156</t>
  </si>
  <si>
    <t>StockholdersEquity</t>
  </si>
  <si>
    <t>S157</t>
  </si>
  <si>
    <t>MinorityInterest</t>
  </si>
  <si>
    <t>S158</t>
  </si>
  <si>
    <t>StockholdersEquityIncludingPortionAttributableToNoncontrollingInterest</t>
  </si>
  <si>
    <t>S159</t>
  </si>
  <si>
    <t>DebtCurrent</t>
  </si>
  <si>
    <t>S160</t>
  </si>
  <si>
    <t>S161</t>
  </si>
  <si>
    <t>PropertyPlantAndEquipmentNet</t>
  </si>
  <si>
    <t>S162</t>
  </si>
  <si>
    <t>RevenueFromContractWithCustomerExcludingAssessedTax</t>
  </si>
  <si>
    <t>S163</t>
  </si>
  <si>
    <t>0000701985-26-000029/income_statement.csv</t>
  </si>
  <si>
    <t>2026-08-01 (YTD)</t>
  </si>
  <si>
    <t>S164</t>
  </si>
  <si>
    <t>2025-08-02 (YTD)</t>
  </si>
  <si>
    <t>S165</t>
  </si>
  <si>
    <t>OperatingIncomeLoss</t>
  </si>
  <si>
    <t>S166</t>
  </si>
  <si>
    <t>S167</t>
  </si>
  <si>
    <t>S168</t>
  </si>
  <si>
    <t>NetIncomeLoss</t>
  </si>
  <si>
    <t>S169</t>
  </si>
  <si>
    <t>S170</t>
  </si>
  <si>
    <t>S171</t>
  </si>
  <si>
    <t>IncomeTaxExpenseBenefit</t>
  </si>
  <si>
    <t>S172</t>
  </si>
  <si>
    <t>S173</t>
  </si>
  <si>
    <t>S174</t>
  </si>
  <si>
    <t>Depreciation</t>
  </si>
  <si>
    <t>S175</t>
  </si>
  <si>
    <t>0000701985-26-000029/cash_flow_statement.csv</t>
  </si>
  <si>
    <t>S176</t>
  </si>
  <si>
    <t>S177</t>
  </si>
  <si>
    <t>ShareBasedCompensation</t>
  </si>
  <si>
    <t>S178</t>
  </si>
  <si>
    <t>S179</t>
  </si>
  <si>
    <t>S180</t>
  </si>
  <si>
    <t>PaymentsToAcquirePropertyPlantAndEquipment</t>
  </si>
  <si>
    <t>S181</t>
  </si>
  <si>
    <t>S182</t>
  </si>
  <si>
    <t>S183</t>
  </si>
  <si>
    <t>NetCashProvidedByUsedInOperatingActivities</t>
  </si>
  <si>
    <t>S184</t>
  </si>
  <si>
    <t>S185</t>
  </si>
  <si>
    <t>S186</t>
  </si>
  <si>
    <t>NetCashProvidedByUsedInInvestingActivities</t>
  </si>
  <si>
    <t>S187</t>
  </si>
  <si>
    <t>S188</t>
  </si>
  <si>
    <t>S189</t>
  </si>
  <si>
    <t>NetCashProvidedByUsedInFinancingActivities</t>
  </si>
  <si>
    <t>S190</t>
  </si>
  <si>
    <t>S191</t>
  </si>
  <si>
    <t>S192</t>
  </si>
  <si>
    <t>IncomeLossFromContinuingOperationsBeforeIncomeTaxesExtraordinaryItemsNoncontrollingInterest</t>
  </si>
  <si>
    <t>S193</t>
  </si>
  <si>
    <t>S194</t>
  </si>
  <si>
    <t>S195</t>
  </si>
  <si>
    <t>CostOfGoodsAndServicesSold</t>
  </si>
  <si>
    <t>S196</t>
  </si>
  <si>
    <t>S197</t>
  </si>
  <si>
    <t>S198</t>
  </si>
  <si>
    <t>SellingGeneralAndAdministrativeExpense</t>
  </si>
  <si>
    <t>S199</t>
  </si>
  <si>
    <t>S200</t>
  </si>
  <si>
    <t>S201</t>
  </si>
  <si>
    <t>GrossProfit</t>
  </si>
  <si>
    <t>S202</t>
  </si>
  <si>
    <t>S203</t>
  </si>
  <si>
    <t>S204</t>
  </si>
  <si>
    <t>2026-08-01 (Q3)</t>
  </si>
  <si>
    <t>S205</t>
  </si>
  <si>
    <t>EarningsPerShareDiluted</t>
  </si>
  <si>
    <t>USD/share</t>
  </si>
  <si>
    <t>A1</t>
  </si>
  <si>
    <t>Sum of disclosed direct liability children of LiabilitiesAndStockholdersEquity; equity and nonmonetary commitments excluded</t>
  </si>
  <si>
    <t>total liabilities</t>
  </si>
  <si>
    <t>USD millions; derived grouping</t>
  </si>
  <si>
    <t>A2</t>
  </si>
  <si>
    <t>Reported common equity plus minority interest reconciles to consolidated equity. Consolidated forecast retains all earnings; NCI claim deducted from enterprise-to-common-equity bridge at a provisional constant carrying-value proxy. No separate minority earnings forecast.</t>
  </si>
  <si>
    <t>minority interest claim</t>
  </si>
  <si>
    <t>A3</t>
  </si>
  <si>
    <t>Sum of separately presented components; absent detail remains inside its reported parent aggregate</t>
  </si>
  <si>
    <t>current investments</t>
  </si>
  <si>
    <t>A4</t>
  </si>
  <si>
    <t>noncurrent investments</t>
  </si>
  <si>
    <t>A5</t>
  </si>
  <si>
    <t>current borrowing</t>
  </si>
  <si>
    <t>A6</t>
  </si>
  <si>
    <t>noncurrent borrowing</t>
  </si>
  <si>
    <t>A7</t>
  </si>
  <si>
    <t>separately disclosed finite intangibles</t>
  </si>
  <si>
    <t>A8</t>
  </si>
  <si>
    <t>AssetsCurrent - cash - separately disclosed current investments</t>
  </si>
  <si>
    <t>operating current assets</t>
  </si>
  <si>
    <t>A9</t>
  </si>
  <si>
    <t>Assets - AssetsCurrent - noncurrent investments - PPE - disclosed finite intangibles</t>
  </si>
  <si>
    <t>remaining noncurrent assets</t>
  </si>
  <si>
    <t>A10</t>
  </si>
  <si>
    <t>LiabilitiesCurrent - separately disclosed current borrowing</t>
  </si>
  <si>
    <t>operating current liabilities</t>
  </si>
  <si>
    <t>A11</t>
  </si>
  <si>
    <t>Liabilities - LiabilitiesCurrent - separately disclosed noncurrent borrowing</t>
  </si>
  <si>
    <t>remaining noncurrent liabilities</t>
  </si>
  <si>
    <t>A12</t>
  </si>
  <si>
    <t>Derived reported pretax plus disclosed after-tax equity income minus net income; signed source tax retained separately in tax_reported; bridge checked</t>
  </si>
  <si>
    <t>tax expense</t>
  </si>
  <si>
    <t>A13</t>
  </si>
  <si>
    <t>Each FY/YTD reconciles to reported EBIT. Expense magnitudes are presentation conversions; signed facts remain in History/Evidence. Absent categories are not asserted to be zero. Forecast ratios start at TTM and include embedded D&amp;A/SBC; total D&amp;A is replaced once below EBITDA. No allocation of D&amp;A between COGS and SG&amp;A is claimed. Per-period sign conversions and EBIT differences: {'annual': {'values': {'cogs': 4102.0, 'sga': 2063.0}, 'sign_multipliers': {'cogs': -1, 'sga': -1}, 'difference': 0.0}, 'current_ytd': {'values': {'cogs': 1613.0, 'sga': 832.0}, 'sign_multipliers': {'cogs': -1, 'sga': -1}, 'difference': 0.0}, 'prior_ytd': {'values': {'cogs': 1687.0, 'sga': 920.0}, 'sign_multipliers': {'cogs': -1, 'sga': -1}, 'difference': 0.0}}</t>
  </si>
  <si>
    <t>operating cost composition</t>
  </si>
  <si>
    <t>A14</t>
  </si>
  <si>
    <t>Historical effective rate when usable; otherwise explicit provisional 25% normalized rate, without changing reported tax or modeling NOLs</t>
  </si>
  <si>
    <t>forecast tax rate</t>
  </si>
  <si>
    <t>ratio</t>
  </si>
  <si>
    <t>A15</t>
  </si>
  <si>
    <t>Unique native quarter column 2026-08-01 (Q3) bound to reported 2026-05-03 through 2026-08-01; provider quarter label differs from issuer fiscal label</t>
  </si>
  <si>
    <t>quarterly share period</t>
  </si>
  <si>
    <t>A16</t>
  </si>
  <si>
    <t>ESTIMATE: quarterly net income / rounded consolidated diluted EPS; if-converted and award dilution embedded, no separate preferred claim</t>
  </si>
  <si>
    <t>million shares; estimate</t>
  </si>
  <si>
    <t>Derived</t>
  </si>
  <si>
    <t>Expense magnitudes reconcile to revenue minus EBIT. Raw signs retained; presentation multipliers: {'cogs': -1, 'sga': -1}</t>
  </si>
  <si>
    <t>USD millions; derived</t>
  </si>
  <si>
    <t>Current assets minus cash minus separately disclosed current investments; absent face categories stay in the parent, never asserted as reported zero balances. Historical face groups do not include later note reclassifications.</t>
  </si>
  <si>
    <t>Current liabilities minus separately disclosed current borrowing; absent face categories stay in the parent, never asserted as reported zero balances. Historical face groups do not include later note reclassifications.</t>
  </si>
  <si>
    <t>Pretax minus continuing/consolidated after-tax income, checked against signed reported tax. Source tax is retained separately; no absolute-value normalization.</t>
  </si>
  <si>
    <t>Additional scenario operating expense</t>
  </si>
  <si>
    <t>Additional expense /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</si>
</sst>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;\–"/>
    <numFmt numFmtId="165" formatCode="\$0.00"/>
    <numFmt numFmtId="166" formatCode="0.0%"/>
    <numFmt numFmtId="167" formatCode="0.0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66CC"/>
      <name val="Aptos"/>
      <family val="2"/>
    </font>
    <font>
      <u/>
      <sz val="11"/>
      <color theme="10"/>
      <name val="Calibri"/>
      <family val="2"/>
      <scheme val="minor"/>
    </font>
    <font>
      <sz val="10"/>
      <color rgb="FF008000"/>
      <name val="Aptos"/>
      <family val="2"/>
    </font>
    <font>
      <b/>
      <sz val="10"/>
      <color theme="1"/>
      <name val="Aptos"/>
      <family val="2"/>
    </font>
    <font>
      <b/>
      <sz val="10"/>
      <color rgb="FF008000"/>
      <name val="Aptos"/>
      <family val="2"/>
    </font>
    <font>
      <i/>
      <sz val="10"/>
      <color rgb="FF000000"/>
      <name val="Aptos"/>
      <family val="2"/>
    </font>
    <font>
      <i/>
      <sz val="10"/>
      <color rgb="FF008000"/>
      <name val="Aptos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CEAF4"/>
      </patternFill>
    </fill>
    <fill>
      <patternFill patternType="none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6E6E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3" borderId="0"/>
    <xf numFmtId="0" fontId="6" fillId="3" borderId="0"/>
  </cellStyleXfs>
  <cellXfs count="44">
    <xf numFmtId="0" fontId="0" fillId="0" borderId="0" xfId="0" applyFill="1"/>
    <xf numFmtId="0" fontId="2" fillId="0" borderId="0" xfId="0" applyFont="1" applyFill="1"/>
    <xf numFmtId="164" fontId="4" fillId="3" borderId="0" xfId="0" applyNumberFormat="1" applyFont="1"/>
    <xf numFmtId="0" fontId="3" fillId="2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164" fontId="4" fillId="3" borderId="0" xfId="0" applyNumberFormat="1" applyFont="1" applyAlignment="1">
      <alignment vertical="top" wrapText="1"/>
    </xf>
    <xf numFmtId="164" fontId="5" fillId="5" borderId="0" xfId="0" applyNumberFormat="1" applyFont="1" applyFill="1" applyAlignment="1">
      <alignment vertical="top" wrapText="1"/>
    </xf>
    <xf numFmtId="165" fontId="4" fillId="3" borderId="0" xfId="0" applyNumberFormat="1" applyFont="1" applyAlignment="1">
      <alignment vertical="top" wrapText="1"/>
    </xf>
    <xf numFmtId="10" fontId="4" fillId="3" borderId="0" xfId="0" applyNumberFormat="1" applyFont="1" applyAlignment="1">
      <alignment vertical="top" wrapText="1"/>
    </xf>
    <xf numFmtId="0" fontId="6" fillId="0" borderId="0" xfId="1" applyFill="1" applyAlignment="1">
      <alignment vertical="top" wrapText="1"/>
    </xf>
    <xf numFmtId="10" fontId="4" fillId="3" borderId="0" xfId="0" applyNumberFormat="1" applyFont="1"/>
    <xf numFmtId="165" fontId="4" fillId="3" borderId="0" xfId="0" applyNumberFormat="1" applyFont="1"/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164" fontId="7" fillId="3" borderId="0" xfId="0" applyNumberFormat="1" applyFont="1"/>
    <xf numFmtId="164" fontId="9" fillId="3" borderId="1" xfId="0" applyNumberFormat="1" applyFont="1" applyBorder="1"/>
    <xf numFmtId="164" fontId="3" fillId="3" borderId="1" xfId="0" applyNumberFormat="1" applyFont="1" applyBorder="1"/>
    <xf numFmtId="0" fontId="8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3" fillId="0" borderId="1" xfId="0" applyFont="1" applyFill="1" applyBorder="1"/>
    <xf numFmtId="166" fontId="4" fillId="3" borderId="0" xfId="0" applyNumberFormat="1" applyFont="1"/>
    <xf numFmtId="166" fontId="10" fillId="3" borderId="0" xfId="0" applyNumberFormat="1" applyFont="1"/>
    <xf numFmtId="166" fontId="11" fillId="3" borderId="0" xfId="0" applyNumberFormat="1" applyFont="1"/>
    <xf numFmtId="167" fontId="10" fillId="3" borderId="0" xfId="0" applyNumberFormat="1" applyFont="1"/>
    <xf numFmtId="167" fontId="11" fillId="3" borderId="0" xfId="0" applyNumberFormat="1" applyFont="1"/>
    <xf numFmtId="166" fontId="2" fillId="0" borderId="0" xfId="0" applyNumberFormat="1" applyFont="1" applyFill="1" applyAlignment="1">
      <alignment wrapText="1"/>
    </xf>
    <xf numFmtId="166" fontId="0" fillId="0" borderId="0" xfId="0" applyNumberFormat="1" applyFill="1"/>
    <xf numFmtId="166" fontId="2" fillId="0" borderId="0" xfId="0" applyNumberFormat="1" applyFont="1" applyFill="1"/>
    <xf numFmtId="0" fontId="12" fillId="0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164" fontId="3" fillId="6" borderId="0" xfId="0" applyNumberFormat="1" applyFont="1" applyFill="1" applyAlignment="1">
      <alignment wrapText="1"/>
    </xf>
    <xf numFmtId="2" fontId="2" fillId="0" borderId="0" xfId="0" applyNumberFormat="1" applyFont="1" applyFill="1"/>
    <xf numFmtId="2" fontId="4" fillId="3" borderId="0" xfId="0" applyNumberFormat="1" applyFont="1"/>
    <xf numFmtId="2" fontId="0" fillId="0" borderId="0" xfId="0" applyNumberFormat="1" applyFill="1"/>
    <xf numFmtId="0" fontId="2" fillId="0" borderId="0" xfId="0" applyFont="1" applyFill="1" applyAlignment="1">
      <alignment vertical="top" wrapText="1"/>
    </xf>
    <xf numFmtId="0" fontId="0" fillId="0" borderId="0" xfId="0" applyFill="1"/>
    <xf numFmtId="0" fontId="1" fillId="4" borderId="0" xfId="0" applyFont="1" applyFill="1" applyAlignment="1">
      <alignment vertical="top" wrapText="1"/>
    </xf>
    <xf numFmtId="0" fontId="2" fillId="0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tabSelected="1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59.7109375" customWidth="1"/>
    <col min="2" max="2" width="104.7109375" customWidth="1"/>
    <col min="3" max="12" width="17.7109375" customWidth="1"/>
  </cols>
  <sheetData>
    <row r="1" spans="1:12" ht="21" customHeight="1" x14ac:dyDescent="0.25">
      <c r="A1" s="40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21" customHeight="1" x14ac:dyDescent="0.25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21" customHeight="1" x14ac:dyDescent="0.25">
      <c r="A3" s="7" t="s">
        <v>2</v>
      </c>
      <c r="B3" s="7" t="s">
        <v>3</v>
      </c>
      <c r="C3" s="8"/>
      <c r="D3" s="13" t="s">
        <v>4</v>
      </c>
      <c r="E3" s="8"/>
      <c r="F3" s="8"/>
      <c r="G3" s="8"/>
      <c r="H3" s="8"/>
      <c r="I3" s="8"/>
      <c r="J3" s="8"/>
      <c r="K3" s="8"/>
      <c r="L3" s="8"/>
    </row>
    <row r="4" spans="1:12" ht="21" customHeight="1" x14ac:dyDescent="0.25">
      <c r="A4" s="6" t="s">
        <v>5</v>
      </c>
      <c r="B4" s="11">
        <f>DCF!B19</f>
        <v>39.864567165570811</v>
      </c>
      <c r="C4" s="8"/>
      <c r="D4" s="13" t="s">
        <v>6</v>
      </c>
      <c r="E4" s="8"/>
      <c r="F4" s="8"/>
      <c r="G4" s="8"/>
      <c r="H4" s="8"/>
      <c r="I4" s="8"/>
      <c r="J4" s="8"/>
      <c r="K4" s="8"/>
      <c r="L4" s="8"/>
    </row>
    <row r="5" spans="1:12" ht="21" customHeight="1" x14ac:dyDescent="0.25">
      <c r="A5" s="6" t="s">
        <v>7</v>
      </c>
      <c r="B5" s="12">
        <f>DCF!B6</f>
        <v>8.3680305979172365E-2</v>
      </c>
      <c r="C5" s="8"/>
      <c r="D5" s="13" t="s">
        <v>8</v>
      </c>
      <c r="E5" s="8"/>
      <c r="F5" s="8"/>
      <c r="G5" s="8"/>
      <c r="H5" s="8"/>
      <c r="I5" s="8"/>
      <c r="J5" s="8"/>
      <c r="K5" s="8"/>
      <c r="L5" s="8"/>
    </row>
    <row r="6" spans="1:12" ht="21" customHeight="1" x14ac:dyDescent="0.25">
      <c r="A6" s="6" t="s">
        <v>9</v>
      </c>
      <c r="B6" s="9" t="str">
        <f>Checks!B9</f>
        <v>PASS</v>
      </c>
      <c r="C6" s="8"/>
      <c r="D6" s="13" t="s">
        <v>10</v>
      </c>
      <c r="E6" s="8"/>
      <c r="F6" s="8"/>
      <c r="G6" s="8"/>
      <c r="H6" s="8"/>
      <c r="I6" s="8"/>
      <c r="J6" s="8"/>
      <c r="K6" s="8"/>
      <c r="L6" s="8"/>
    </row>
    <row r="7" spans="1:12" ht="21" customHeight="1" x14ac:dyDescent="0.25">
      <c r="A7" s="6" t="s">
        <v>11</v>
      </c>
      <c r="B7" s="9" t="s">
        <v>12</v>
      </c>
      <c r="C7" s="8"/>
      <c r="D7" s="13" t="s">
        <v>13</v>
      </c>
      <c r="E7" s="8"/>
      <c r="F7" s="8"/>
      <c r="G7" s="8"/>
      <c r="H7" s="8"/>
      <c r="I7" s="8"/>
      <c r="J7" s="8"/>
      <c r="K7" s="8"/>
      <c r="L7" s="8"/>
    </row>
    <row r="8" spans="1:12" ht="21" customHeight="1" x14ac:dyDescent="0.25">
      <c r="A8" s="6" t="s">
        <v>14</v>
      </c>
      <c r="B8" s="9" t="s">
        <v>15</v>
      </c>
      <c r="C8" s="8"/>
      <c r="D8" s="13" t="s">
        <v>16</v>
      </c>
      <c r="E8" s="8"/>
      <c r="F8" s="8"/>
      <c r="G8" s="8"/>
      <c r="H8" s="8"/>
      <c r="I8" s="8"/>
      <c r="J8" s="8"/>
      <c r="K8" s="8"/>
      <c r="L8" s="8"/>
    </row>
    <row r="9" spans="1:12" ht="21" customHeight="1" x14ac:dyDescent="0.25">
      <c r="A9" s="6" t="s">
        <v>17</v>
      </c>
      <c r="B9" s="9" t="s">
        <v>18</v>
      </c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46.5" customHeight="1" x14ac:dyDescent="0.25">
      <c r="A10" s="6" t="s">
        <v>19</v>
      </c>
      <c r="B10" s="9" t="s">
        <v>20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33" customHeight="1" x14ac:dyDescent="0.25">
      <c r="A11" s="6" t="s">
        <v>21</v>
      </c>
      <c r="B11" s="9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46.5" customHeight="1" x14ac:dyDescent="0.25">
      <c r="A12" s="6" t="s">
        <v>23</v>
      </c>
      <c r="B12" s="9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33" customHeight="1" x14ac:dyDescent="0.25">
      <c r="A13" s="6" t="s">
        <v>25</v>
      </c>
      <c r="B13" s="9" t="s">
        <v>26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ht="33" customHeight="1" x14ac:dyDescent="0.25">
      <c r="A14" s="6" t="s">
        <v>27</v>
      </c>
      <c r="B14" s="9" t="s">
        <v>28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46.5" customHeight="1" x14ac:dyDescent="0.25">
      <c r="A15" s="6" t="s">
        <v>29</v>
      </c>
      <c r="B15" s="9" t="s">
        <v>30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46.5" customHeight="1" x14ac:dyDescent="0.25">
      <c r="A16" s="6" t="s">
        <v>31</v>
      </c>
      <c r="B16" s="9" t="s">
        <v>32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33" customHeight="1" x14ac:dyDescent="0.25">
      <c r="A17" s="6" t="s">
        <v>33</v>
      </c>
      <c r="B17" s="9" t="s">
        <v>34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46.5" customHeight="1" x14ac:dyDescent="0.25">
      <c r="A18" s="6" t="s">
        <v>35</v>
      </c>
      <c r="B18" s="9" t="s">
        <v>36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46.5" customHeight="1" x14ac:dyDescent="0.25">
      <c r="A19" s="6" t="s">
        <v>37</v>
      </c>
      <c r="B19" s="9" t="s">
        <v>38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46.5" customHeight="1" x14ac:dyDescent="0.25">
      <c r="A20" s="6" t="s">
        <v>39</v>
      </c>
      <c r="B20" s="9" t="s">
        <v>40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33" customHeight="1" x14ac:dyDescent="0.25">
      <c r="A21" s="6" t="s">
        <v>41</v>
      </c>
      <c r="B21" s="9" t="s">
        <v>42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33" customHeight="1" x14ac:dyDescent="0.25">
      <c r="A22" s="6" t="s">
        <v>43</v>
      </c>
      <c r="B22" s="9" t="s">
        <v>44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33" customHeight="1" x14ac:dyDescent="0.25">
      <c r="A23" s="6" t="s">
        <v>45</v>
      </c>
      <c r="B23" s="9" t="s">
        <v>46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46.5" customHeight="1" x14ac:dyDescent="0.25">
      <c r="A24" s="6" t="s">
        <v>47</v>
      </c>
      <c r="B24" s="9" t="s">
        <v>48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33" customHeight="1" x14ac:dyDescent="0.25">
      <c r="A25" s="6" t="s">
        <v>49</v>
      </c>
      <c r="B25" s="9" t="s">
        <v>50</v>
      </c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33" customHeight="1" x14ac:dyDescent="0.25">
      <c r="A26" s="6" t="s">
        <v>51</v>
      </c>
      <c r="B26" s="9" t="s">
        <v>52</v>
      </c>
      <c r="C26" s="8"/>
      <c r="D26" s="8"/>
      <c r="E26" s="8"/>
      <c r="F26" s="8"/>
      <c r="G26" s="8"/>
      <c r="H26" s="8"/>
      <c r="I26" s="8"/>
      <c r="J26" s="8"/>
      <c r="K26" s="8"/>
      <c r="L26" s="8"/>
    </row>
  </sheetData>
  <mergeCells count="2">
    <mergeCell ref="A2:L2"/>
    <mergeCell ref="A1:L1"/>
  </mergeCells>
  <hyperlinks>
    <hyperlink ref="D3" location="'Income'!A1" tooltip="Open Income" display="Open Income" xr:uid="{00000000-0004-0000-0000-000000000000}"/>
    <hyperlink ref="D4" location="'BalanceSheet'!A1" tooltip="Open BalanceSheet" display="Open BalanceSheet" xr:uid="{00000000-0004-0000-0000-000001000000}"/>
    <hyperlink ref="D5" location="'CashFlow'!A1" tooltip="Open CashFlow" display="Open CashFlow" xr:uid="{00000000-0004-0000-0000-000002000000}"/>
    <hyperlink ref="D6" location="'History'!A1" tooltip="Open History" display="Open History" xr:uid="{00000000-0004-0000-0000-000003000000}"/>
    <hyperlink ref="D7" location="'DCF'!A1" tooltip="Open DCF" display="Open DCF" xr:uid="{00000000-0004-0000-0000-000004000000}"/>
    <hyperlink ref="D8" location="'Sensitivity'!A1" tooltip="Open Sensitivity" display="Open Sensitivity" xr:uid="{00000000-0004-0000-0000-000005000000}"/>
  </hyperlinks>
  <pageMargins left="0.7" right="0.7" top="0.75" bottom="0.75" header="0.3" footer="0.3"/>
  <pageSetup paperSize="9" scale="3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9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Q1"/>
    </sheetView>
  </sheetViews>
  <sheetFormatPr defaultColWidth="8.42578125" defaultRowHeight="15" x14ac:dyDescent="0.25"/>
  <cols>
    <col min="1" max="1" width="59.7109375" style="4" customWidth="1"/>
    <col min="2" max="17" width="17.7109375" customWidth="1"/>
  </cols>
  <sheetData>
    <row r="1" spans="1:17" ht="30" customHeight="1" x14ac:dyDescent="0.25">
      <c r="A1" s="42" t="s">
        <v>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2.1" customHeight="1" x14ac:dyDescent="0.25">
      <c r="A2" s="41" t="s">
        <v>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s="4" customFormat="1" ht="42" customHeight="1" x14ac:dyDescent="0.25">
      <c r="A3" s="3" t="s">
        <v>55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61</v>
      </c>
      <c r="H3" s="17" t="s">
        <v>62</v>
      </c>
      <c r="I3" s="17" t="s">
        <v>63</v>
      </c>
      <c r="J3" s="17" t="s">
        <v>64</v>
      </c>
      <c r="K3" s="17" t="s">
        <v>65</v>
      </c>
      <c r="L3" s="17" t="s">
        <v>66</v>
      </c>
      <c r="M3" s="17" t="s">
        <v>67</v>
      </c>
      <c r="N3" s="17" t="s">
        <v>68</v>
      </c>
      <c r="O3" s="17" t="s">
        <v>69</v>
      </c>
      <c r="P3" s="17" t="s">
        <v>70</v>
      </c>
      <c r="Q3" s="17" t="s">
        <v>71</v>
      </c>
    </row>
    <row r="4" spans="1:17" x14ac:dyDescent="0.2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5" t="s">
        <v>72</v>
      </c>
      <c r="B5" s="2"/>
      <c r="C5" s="2"/>
      <c r="D5" s="2"/>
      <c r="E5" s="2"/>
      <c r="F5" s="2"/>
      <c r="G5" s="2"/>
      <c r="H5" s="2">
        <f>1</f>
        <v>1</v>
      </c>
      <c r="I5" s="2">
        <f>1</f>
        <v>1</v>
      </c>
      <c r="J5" s="2">
        <f>1</f>
        <v>1</v>
      </c>
      <c r="K5" s="2">
        <f>1</f>
        <v>1</v>
      </c>
      <c r="L5" s="2">
        <f>1</f>
        <v>1</v>
      </c>
      <c r="M5" s="2">
        <f>1</f>
        <v>1</v>
      </c>
      <c r="N5" s="2">
        <f>1</f>
        <v>1</v>
      </c>
      <c r="O5" s="2">
        <f>1</f>
        <v>1</v>
      </c>
      <c r="P5" s="2">
        <f>1</f>
        <v>1</v>
      </c>
      <c r="Q5" s="2">
        <f>1</f>
        <v>1</v>
      </c>
    </row>
    <row r="6" spans="1:17" x14ac:dyDescent="0.25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1" t="s">
        <v>73</v>
      </c>
      <c r="B8" s="19">
        <f>IF(ISNUMBER(History!B7),History!B7,"")</f>
        <v>7882</v>
      </c>
      <c r="C8" s="19">
        <f>IF(ISNUMBER(History!C7),History!C7,"")</f>
        <v>7560</v>
      </c>
      <c r="D8" s="19">
        <f>IF(ISNUMBER(History!D7),History!D7,"")</f>
        <v>7429</v>
      </c>
      <c r="E8" s="19">
        <f>IF(ISNUMBER(History!E7),History!E7,"")</f>
        <v>7307</v>
      </c>
      <c r="F8" s="19">
        <f>IF(ISNUMBER(History!F7),History!F7,"")</f>
        <v>7291</v>
      </c>
      <c r="G8" s="19">
        <f>IF(ISNUMBER(History!G7),History!G7,"")</f>
        <v>7209</v>
      </c>
      <c r="H8" s="19">
        <f>(Inputs!$B$45+Stub!B6)*(1+H9)</f>
        <v>6980.2067999999999</v>
      </c>
      <c r="I8" s="20">
        <f t="shared" ref="I8:Q8" si="0">H8*(1+I9)</f>
        <v>6840.602664</v>
      </c>
      <c r="J8" s="20">
        <f t="shared" si="0"/>
        <v>6703.7906107199997</v>
      </c>
      <c r="K8" s="20">
        <f t="shared" si="0"/>
        <v>6569.7147985055999</v>
      </c>
      <c r="L8" s="20">
        <f t="shared" si="0"/>
        <v>6438.3205025354882</v>
      </c>
      <c r="M8" s="20">
        <f t="shared" si="0"/>
        <v>6309.5540924847783</v>
      </c>
      <c r="N8" s="20">
        <f t="shared" si="0"/>
        <v>6183.3630106350829</v>
      </c>
      <c r="O8" s="20">
        <f t="shared" si="0"/>
        <v>6059.695750422381</v>
      </c>
      <c r="P8" s="20">
        <f t="shared" si="0"/>
        <v>5938.5018354139329</v>
      </c>
      <c r="Q8" s="20">
        <f t="shared" si="0"/>
        <v>5819.731798705654</v>
      </c>
    </row>
    <row r="9" spans="1:17" s="30" customFormat="1" x14ac:dyDescent="0.25">
      <c r="A9" s="29" t="s">
        <v>74</v>
      </c>
      <c r="B9" s="25"/>
      <c r="C9" s="25">
        <f>IF(AND(COUNT(C8,B8)=2,B8&lt;&gt;0),C8/B8-1,"")</f>
        <v>-4.0852575488454668E-2</v>
      </c>
      <c r="D9" s="25">
        <f>IF(AND(COUNT(D8,C8)=2,C8&lt;&gt;0),D8/C8-1,"")</f>
        <v>-1.7328042328042303E-2</v>
      </c>
      <c r="E9" s="25">
        <f>IF(AND(COUNT(E8,D8)=2,D8&lt;&gt;0),E8/D8-1,"")</f>
        <v>-1.6422129492529303E-2</v>
      </c>
      <c r="F9" s="25">
        <f>IF(AND(COUNT(F8,E8)=2,E8&lt;&gt;0),F8/E8-1,"")</f>
        <v>-2.1896811276858053E-3</v>
      </c>
      <c r="G9" s="25"/>
      <c r="H9" s="26">
        <f>Inputs!$B$54</f>
        <v>-0.02</v>
      </c>
      <c r="I9" s="26">
        <f>Inputs!$B$54</f>
        <v>-0.02</v>
      </c>
      <c r="J9" s="26">
        <f>Inputs!$B$54</f>
        <v>-0.02</v>
      </c>
      <c r="K9" s="26">
        <f>Inputs!$B$54</f>
        <v>-0.02</v>
      </c>
      <c r="L9" s="26">
        <f>Inputs!$B$54</f>
        <v>-0.02</v>
      </c>
      <c r="M9" s="26">
        <f>Inputs!$B$54</f>
        <v>-0.02</v>
      </c>
      <c r="N9" s="26">
        <f>Inputs!$B$54</f>
        <v>-0.02</v>
      </c>
      <c r="O9" s="26">
        <f>Inputs!$B$54</f>
        <v>-0.02</v>
      </c>
      <c r="P9" s="26">
        <f>Inputs!$B$54</f>
        <v>-0.02</v>
      </c>
      <c r="Q9" s="26">
        <f>Inputs!$B$54</f>
        <v>-0.02</v>
      </c>
    </row>
    <row r="10" spans="1:17" x14ac:dyDescent="0.25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5" t="s">
        <v>75</v>
      </c>
      <c r="B11" s="18">
        <f>IF(ISNUMBER(History!B39),History!B39,"")</f>
        <v>4027</v>
      </c>
      <c r="C11" s="18">
        <f>IF(ISNUMBER(History!C39),History!C39,"")</f>
        <v>4305</v>
      </c>
      <c r="D11" s="18">
        <f>IF(ISNUMBER(History!D39),History!D39,"")</f>
        <v>4193</v>
      </c>
      <c r="E11" s="18">
        <f>IF(ISNUMBER(History!E39),History!E39,"")</f>
        <v>4073</v>
      </c>
      <c r="F11" s="18">
        <f>IF(ISNUMBER(History!F39),History!F39,"")</f>
        <v>4102</v>
      </c>
      <c r="G11" s="18">
        <f>IF(ISNUMBER(History!G39),History!G39,"")</f>
        <v>4028</v>
      </c>
      <c r="H11" s="2">
        <f t="shared" ref="H11:Q11" si="1">H8*H12</f>
        <v>3900.1627119434042</v>
      </c>
      <c r="I11" s="2">
        <f t="shared" si="1"/>
        <v>3822.1594577045362</v>
      </c>
      <c r="J11" s="2">
        <f t="shared" si="1"/>
        <v>3745.7162685504454</v>
      </c>
      <c r="K11" s="2">
        <f t="shared" si="1"/>
        <v>3670.8019431794364</v>
      </c>
      <c r="L11" s="2">
        <f t="shared" si="1"/>
        <v>3597.3859043158477</v>
      </c>
      <c r="M11" s="2">
        <f t="shared" si="1"/>
        <v>3525.4381862295309</v>
      </c>
      <c r="N11" s="2">
        <f t="shared" si="1"/>
        <v>3454.9294225049402</v>
      </c>
      <c r="O11" s="2">
        <f t="shared" si="1"/>
        <v>3385.8308340548415</v>
      </c>
      <c r="P11" s="2">
        <f t="shared" si="1"/>
        <v>3318.1142173737444</v>
      </c>
      <c r="Q11" s="2">
        <f t="shared" si="1"/>
        <v>3251.7519330262694</v>
      </c>
    </row>
    <row r="12" spans="1:17" s="30" customFormat="1" x14ac:dyDescent="0.25">
      <c r="A12" s="29" t="s">
        <v>76</v>
      </c>
      <c r="B12" s="25">
        <f t="shared" ref="B12:G12" si="2">IF(AND(COUNT(B11,B8)=2,B8&lt;&gt;0),B11/B8,"")</f>
        <v>0.51091093631058104</v>
      </c>
      <c r="C12" s="25">
        <f t="shared" si="2"/>
        <v>0.56944444444444442</v>
      </c>
      <c r="D12" s="25">
        <f t="shared" si="2"/>
        <v>0.56440974559160051</v>
      </c>
      <c r="E12" s="25">
        <f t="shared" si="2"/>
        <v>0.55741070206651155</v>
      </c>
      <c r="F12" s="25">
        <f t="shared" si="2"/>
        <v>0.56261143876011521</v>
      </c>
      <c r="G12" s="25">
        <f t="shared" si="2"/>
        <v>0.55874601192953255</v>
      </c>
      <c r="H12" s="26">
        <f>Inputs!$B$66</f>
        <v>0.55874601192953255</v>
      </c>
      <c r="I12" s="26">
        <f>Inputs!$B$66</f>
        <v>0.55874601192953255</v>
      </c>
      <c r="J12" s="26">
        <f>Inputs!$B$66</f>
        <v>0.55874601192953255</v>
      </c>
      <c r="K12" s="26">
        <f>Inputs!$B$66</f>
        <v>0.55874601192953255</v>
      </c>
      <c r="L12" s="26">
        <f>Inputs!$B$66</f>
        <v>0.55874601192953255</v>
      </c>
      <c r="M12" s="26">
        <f>Inputs!$B$66</f>
        <v>0.55874601192953255</v>
      </c>
      <c r="N12" s="26">
        <f>Inputs!$B$66</f>
        <v>0.55874601192953255</v>
      </c>
      <c r="O12" s="26">
        <f>Inputs!$B$66</f>
        <v>0.55874601192953255</v>
      </c>
      <c r="P12" s="26">
        <f>Inputs!$B$66</f>
        <v>0.55874601192953255</v>
      </c>
      <c r="Q12" s="26">
        <f>Inputs!$B$66</f>
        <v>0.55874601192953255</v>
      </c>
    </row>
    <row r="13" spans="1:17" x14ac:dyDescent="0.2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1" t="s">
        <v>77</v>
      </c>
      <c r="B14" s="20">
        <f t="shared" ref="B14:Q14" si="3">IF(COUNT(B8,B11)=2,B8-B11,"")</f>
        <v>3855</v>
      </c>
      <c r="C14" s="20">
        <f t="shared" si="3"/>
        <v>3255</v>
      </c>
      <c r="D14" s="20">
        <f t="shared" si="3"/>
        <v>3236</v>
      </c>
      <c r="E14" s="20">
        <f t="shared" si="3"/>
        <v>3234</v>
      </c>
      <c r="F14" s="20">
        <f t="shared" si="3"/>
        <v>3189</v>
      </c>
      <c r="G14" s="20">
        <f t="shared" si="3"/>
        <v>3181</v>
      </c>
      <c r="H14" s="20">
        <f t="shared" si="3"/>
        <v>3080.0440880565957</v>
      </c>
      <c r="I14" s="20">
        <f t="shared" si="3"/>
        <v>3018.4432062954638</v>
      </c>
      <c r="J14" s="20">
        <f t="shared" si="3"/>
        <v>2958.0743421695543</v>
      </c>
      <c r="K14" s="20">
        <f t="shared" si="3"/>
        <v>2898.9128553261635</v>
      </c>
      <c r="L14" s="20">
        <f t="shared" si="3"/>
        <v>2840.9345982196405</v>
      </c>
      <c r="M14" s="20">
        <f t="shared" si="3"/>
        <v>2784.1159062552474</v>
      </c>
      <c r="N14" s="20">
        <f t="shared" si="3"/>
        <v>2728.4335881301427</v>
      </c>
      <c r="O14" s="20">
        <f t="shared" si="3"/>
        <v>2673.8649163675395</v>
      </c>
      <c r="P14" s="20">
        <f t="shared" si="3"/>
        <v>2620.3876180401885</v>
      </c>
      <c r="Q14" s="20">
        <f t="shared" si="3"/>
        <v>2567.9798656793846</v>
      </c>
    </row>
    <row r="15" spans="1:17" s="30" customFormat="1" x14ac:dyDescent="0.25">
      <c r="A15" s="29" t="s">
        <v>78</v>
      </c>
      <c r="B15" s="24">
        <f t="shared" ref="B15:Q15" si="4">IF(AND(COUNT(B14,B8)=2,B8&lt;&gt;0),B14/B8,"")</f>
        <v>0.48908906368941896</v>
      </c>
      <c r="C15" s="24">
        <f t="shared" si="4"/>
        <v>0.43055555555555558</v>
      </c>
      <c r="D15" s="24">
        <f t="shared" si="4"/>
        <v>0.43559025440839949</v>
      </c>
      <c r="E15" s="24">
        <f t="shared" si="4"/>
        <v>0.44258929793348845</v>
      </c>
      <c r="F15" s="24">
        <f t="shared" si="4"/>
        <v>0.43738856123988479</v>
      </c>
      <c r="G15" s="24">
        <f t="shared" si="4"/>
        <v>0.44125398807046745</v>
      </c>
      <c r="H15" s="24">
        <f t="shared" si="4"/>
        <v>0.44125398807046745</v>
      </c>
      <c r="I15" s="24">
        <f t="shared" si="4"/>
        <v>0.44125398807046745</v>
      </c>
      <c r="J15" s="24">
        <f t="shared" si="4"/>
        <v>0.4412539880704674</v>
      </c>
      <c r="K15" s="24">
        <f t="shared" si="4"/>
        <v>0.44125398807046745</v>
      </c>
      <c r="L15" s="24">
        <f t="shared" si="4"/>
        <v>0.44125398807046751</v>
      </c>
      <c r="M15" s="24">
        <f t="shared" si="4"/>
        <v>0.44125398807046745</v>
      </c>
      <c r="N15" s="24">
        <f t="shared" si="4"/>
        <v>0.44125398807046745</v>
      </c>
      <c r="O15" s="24">
        <f t="shared" si="4"/>
        <v>0.44125398807046745</v>
      </c>
      <c r="P15" s="24">
        <f t="shared" si="4"/>
        <v>0.44125398807046745</v>
      </c>
      <c r="Q15" s="24">
        <f t="shared" si="4"/>
        <v>0.44125398807046745</v>
      </c>
    </row>
    <row r="16" spans="1:17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5" t="s">
        <v>79</v>
      </c>
      <c r="B17" s="18">
        <f>IF(ISNUMBER(History!B40),History!B40,"")</f>
        <v>1846</v>
      </c>
      <c r="C17" s="18">
        <f>IF(ISNUMBER(History!C40),History!C40,"")</f>
        <v>1879</v>
      </c>
      <c r="D17" s="18">
        <f>IF(ISNUMBER(History!D40),History!D40,"")</f>
        <v>1951</v>
      </c>
      <c r="E17" s="18">
        <f>IF(ISNUMBER(History!E40),History!E40,"")</f>
        <v>1968</v>
      </c>
      <c r="F17" s="18">
        <f>IF(ISNUMBER(History!F40),History!F40,"")</f>
        <v>2063</v>
      </c>
      <c r="G17" s="18">
        <f>IF(ISNUMBER(History!G40),History!G40,"")</f>
        <v>1975</v>
      </c>
      <c r="H17" s="2">
        <f t="shared" ref="H17:Q17" si="5">H8*H18</f>
        <v>1912.3191052850605</v>
      </c>
      <c r="I17" s="2">
        <f t="shared" si="5"/>
        <v>1874.0727231793592</v>
      </c>
      <c r="J17" s="2">
        <f t="shared" si="5"/>
        <v>1836.591268715772</v>
      </c>
      <c r="K17" s="2">
        <f t="shared" si="5"/>
        <v>1799.8594433414567</v>
      </c>
      <c r="L17" s="2">
        <f t="shared" si="5"/>
        <v>1763.8622544746274</v>
      </c>
      <c r="M17" s="2">
        <f t="shared" si="5"/>
        <v>1728.585009385135</v>
      </c>
      <c r="N17" s="2">
        <f t="shared" si="5"/>
        <v>1694.0133091974324</v>
      </c>
      <c r="O17" s="2">
        <f t="shared" si="5"/>
        <v>1660.1330430134835</v>
      </c>
      <c r="P17" s="2">
        <f t="shared" si="5"/>
        <v>1626.9303821532137</v>
      </c>
      <c r="Q17" s="2">
        <f t="shared" si="5"/>
        <v>1594.3917745101494</v>
      </c>
    </row>
    <row r="18" spans="1:17" s="30" customFormat="1" x14ac:dyDescent="0.25">
      <c r="A18" s="29" t="s">
        <v>80</v>
      </c>
      <c r="B18" s="25">
        <f t="shared" ref="B18:G18" si="6">IF(AND(COUNT(B17,B8)=2,B8&lt;&gt;0),B17/B8,"")</f>
        <v>0.23420451662014716</v>
      </c>
      <c r="C18" s="25">
        <f t="shared" si="6"/>
        <v>0.24854497354497354</v>
      </c>
      <c r="D18" s="25">
        <f t="shared" si="6"/>
        <v>0.2626194642616772</v>
      </c>
      <c r="E18" s="25">
        <f t="shared" si="6"/>
        <v>0.26933077870535105</v>
      </c>
      <c r="F18" s="25">
        <f t="shared" si="6"/>
        <v>0.28295158414483612</v>
      </c>
      <c r="G18" s="25">
        <f t="shared" si="6"/>
        <v>0.2739631016784575</v>
      </c>
      <c r="H18" s="26">
        <f>Inputs!$B$67</f>
        <v>0.2739631016784575</v>
      </c>
      <c r="I18" s="26">
        <f>Inputs!$B$67</f>
        <v>0.2739631016784575</v>
      </c>
      <c r="J18" s="26">
        <f>Inputs!$B$67</f>
        <v>0.2739631016784575</v>
      </c>
      <c r="K18" s="26">
        <f>Inputs!$B$67</f>
        <v>0.2739631016784575</v>
      </c>
      <c r="L18" s="26">
        <f>Inputs!$B$67</f>
        <v>0.2739631016784575</v>
      </c>
      <c r="M18" s="26">
        <f>Inputs!$B$67</f>
        <v>0.2739631016784575</v>
      </c>
      <c r="N18" s="26">
        <f>Inputs!$B$67</f>
        <v>0.2739631016784575</v>
      </c>
      <c r="O18" s="26">
        <f>Inputs!$B$67</f>
        <v>0.2739631016784575</v>
      </c>
      <c r="P18" s="26">
        <f>Inputs!$B$67</f>
        <v>0.2739631016784575</v>
      </c>
      <c r="Q18" s="26">
        <f>Inputs!$B$67</f>
        <v>0.2739631016784575</v>
      </c>
    </row>
    <row r="19" spans="1:17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5" t="s">
        <v>81</v>
      </c>
      <c r="B20" s="18" t="str">
        <f>IF(ISNUMBER(History!B41),History!B41,"")</f>
        <v/>
      </c>
      <c r="C20" s="18" t="str">
        <f>IF(ISNUMBER(History!C41),History!C41,"")</f>
        <v/>
      </c>
      <c r="D20" s="18" t="str">
        <f>IF(ISNUMBER(History!D41),History!D41,"")</f>
        <v/>
      </c>
      <c r="E20" s="18" t="str">
        <f>IF(ISNUMBER(History!E41),History!E41,"")</f>
        <v/>
      </c>
      <c r="F20" s="18" t="str">
        <f>IF(ISNUMBER(History!F41),History!F41,"")</f>
        <v/>
      </c>
      <c r="G20" s="18" t="str">
        <f>IF(ISNUMBER(History!G41),History!G41,"")</f>
        <v/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s="30" customFormat="1" x14ac:dyDescent="0.25">
      <c r="A21" s="29" t="s">
        <v>82</v>
      </c>
      <c r="B21" s="24" t="str">
        <f t="shared" ref="B21:Q21" si="7">IF(AND(COUNT(B20,B8)=2,B8&lt;&gt;0),B20/B8,"")</f>
        <v/>
      </c>
      <c r="C21" s="24" t="str">
        <f t="shared" si="7"/>
        <v/>
      </c>
      <c r="D21" s="24" t="str">
        <f t="shared" si="7"/>
        <v/>
      </c>
      <c r="E21" s="24" t="str">
        <f t="shared" si="7"/>
        <v/>
      </c>
      <c r="F21" s="24" t="str">
        <f t="shared" si="7"/>
        <v/>
      </c>
      <c r="G21" s="24" t="str">
        <f t="shared" si="7"/>
        <v/>
      </c>
      <c r="H21" s="24" t="str">
        <f t="shared" si="7"/>
        <v/>
      </c>
      <c r="I21" s="24" t="str">
        <f t="shared" si="7"/>
        <v/>
      </c>
      <c r="J21" s="24" t="str">
        <f t="shared" si="7"/>
        <v/>
      </c>
      <c r="K21" s="24" t="str">
        <f t="shared" si="7"/>
        <v/>
      </c>
      <c r="L21" s="24" t="str">
        <f t="shared" si="7"/>
        <v/>
      </c>
      <c r="M21" s="24" t="str">
        <f t="shared" si="7"/>
        <v/>
      </c>
      <c r="N21" s="24" t="str">
        <f t="shared" si="7"/>
        <v/>
      </c>
      <c r="O21" s="24" t="str">
        <f t="shared" si="7"/>
        <v/>
      </c>
      <c r="P21" s="24" t="str">
        <f t="shared" si="7"/>
        <v/>
      </c>
      <c r="Q21" s="24" t="str">
        <f t="shared" si="7"/>
        <v/>
      </c>
    </row>
    <row r="22" spans="1:17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s="30" customFormat="1" x14ac:dyDescent="0.25">
      <c r="A24" s="29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7" x14ac:dyDescent="0.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1" t="s">
        <v>83</v>
      </c>
      <c r="B26" s="19">
        <f>IF(ISNUMBER(History!B50),History!B50,"")</f>
        <v>5873</v>
      </c>
      <c r="C26" s="19">
        <f>IF(ISNUMBER(History!C50),History!C50,"")</f>
        <v>6184</v>
      </c>
      <c r="D26" s="19">
        <f>IF(ISNUMBER(History!D50),History!D50,"")</f>
        <v>6144</v>
      </c>
      <c r="E26" s="19">
        <f>IF(ISNUMBER(History!E50),History!E50,"")</f>
        <v>6041</v>
      </c>
      <c r="F26" s="19">
        <f>IF(ISNUMBER(History!F50),History!F50,"")</f>
        <v>6165</v>
      </c>
      <c r="G26" s="19">
        <f>IF(ISNUMBER(History!G50),History!G50,"")</f>
        <v>6003</v>
      </c>
      <c r="H26" s="20">
        <f t="shared" ref="H26:Q26" si="8">H11+H17</f>
        <v>5812.4818172284649</v>
      </c>
      <c r="I26" s="20">
        <f t="shared" si="8"/>
        <v>5696.2321808838951</v>
      </c>
      <c r="J26" s="20">
        <f t="shared" si="8"/>
        <v>5582.307537266217</v>
      </c>
      <c r="K26" s="20">
        <f t="shared" si="8"/>
        <v>5470.6613865208928</v>
      </c>
      <c r="L26" s="20">
        <f t="shared" si="8"/>
        <v>5361.2481587904749</v>
      </c>
      <c r="M26" s="20">
        <f t="shared" si="8"/>
        <v>5254.0231956146654</v>
      </c>
      <c r="N26" s="20">
        <f t="shared" si="8"/>
        <v>5148.9427317023728</v>
      </c>
      <c r="O26" s="20">
        <f t="shared" si="8"/>
        <v>5045.963877068325</v>
      </c>
      <c r="P26" s="20">
        <f t="shared" si="8"/>
        <v>4945.0445995269583</v>
      </c>
      <c r="Q26" s="20">
        <f t="shared" si="8"/>
        <v>4846.1437075364192</v>
      </c>
    </row>
    <row r="27" spans="1:17" s="30" customFormat="1" x14ac:dyDescent="0.25">
      <c r="A27" s="29" t="s">
        <v>84</v>
      </c>
      <c r="B27" s="25">
        <f t="shared" ref="B27:G27" si="9">IF(AND(COUNT(B26,B8)=2,B8&lt;&gt;0),B26/B8,"")</f>
        <v>0.74511545293072823</v>
      </c>
      <c r="C27" s="25">
        <f t="shared" si="9"/>
        <v>0.81798941798941804</v>
      </c>
      <c r="D27" s="25">
        <f t="shared" si="9"/>
        <v>0.82702920985327766</v>
      </c>
      <c r="E27" s="25">
        <f t="shared" si="9"/>
        <v>0.8267414807718626</v>
      </c>
      <c r="F27" s="25">
        <f t="shared" si="9"/>
        <v>0.84556302290495133</v>
      </c>
      <c r="G27" s="25">
        <f t="shared" si="9"/>
        <v>0.83270911360799005</v>
      </c>
      <c r="H27" s="25">
        <f t="shared" ref="H27:Q27" si="10">H26/H8</f>
        <v>0.83270911360799005</v>
      </c>
      <c r="I27" s="25">
        <f t="shared" si="10"/>
        <v>0.83270911360799005</v>
      </c>
      <c r="J27" s="25">
        <f t="shared" si="10"/>
        <v>0.83270911360799005</v>
      </c>
      <c r="K27" s="25">
        <f t="shared" si="10"/>
        <v>0.83270911360799005</v>
      </c>
      <c r="L27" s="25">
        <f t="shared" si="10"/>
        <v>0.83270911360798994</v>
      </c>
      <c r="M27" s="25">
        <f t="shared" si="10"/>
        <v>0.83270911360798994</v>
      </c>
      <c r="N27" s="25">
        <f t="shared" si="10"/>
        <v>0.83270911360799005</v>
      </c>
      <c r="O27" s="25">
        <f t="shared" si="10"/>
        <v>0.83270911360799005</v>
      </c>
      <c r="P27" s="25">
        <f t="shared" si="10"/>
        <v>0.83270911360799005</v>
      </c>
      <c r="Q27" s="25">
        <f t="shared" si="10"/>
        <v>0.83270911360799016</v>
      </c>
    </row>
    <row r="28" spans="1:17" x14ac:dyDescent="0.25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5" t="s">
        <v>85</v>
      </c>
      <c r="B29" s="2"/>
      <c r="C29" s="2"/>
      <c r="D29" s="2"/>
      <c r="E29" s="2"/>
      <c r="F29" s="2"/>
      <c r="G29" s="2"/>
      <c r="H29" s="2">
        <f t="shared" ref="H29:Q29" si="11">H8*H30</f>
        <v>238.19265817727842</v>
      </c>
      <c r="I29" s="2">
        <f t="shared" si="11"/>
        <v>233.42880501373284</v>
      </c>
      <c r="J29" s="2">
        <f t="shared" si="11"/>
        <v>228.76022891345818</v>
      </c>
      <c r="K29" s="2">
        <f t="shared" si="11"/>
        <v>224.18502433518901</v>
      </c>
      <c r="L29" s="2">
        <f t="shared" si="11"/>
        <v>219.70132384848526</v>
      </c>
      <c r="M29" s="2">
        <f t="shared" si="11"/>
        <v>215.30729737151555</v>
      </c>
      <c r="N29" s="2">
        <f t="shared" si="11"/>
        <v>211.00115142408524</v>
      </c>
      <c r="O29" s="2">
        <f t="shared" si="11"/>
        <v>206.78112839560353</v>
      </c>
      <c r="P29" s="2">
        <f t="shared" si="11"/>
        <v>202.64550582769144</v>
      </c>
      <c r="Q29" s="2">
        <f t="shared" si="11"/>
        <v>198.59259571113759</v>
      </c>
    </row>
    <row r="30" spans="1:17" s="30" customFormat="1" x14ac:dyDescent="0.25">
      <c r="A30" s="29" t="s">
        <v>86</v>
      </c>
      <c r="B30" s="25"/>
      <c r="C30" s="25"/>
      <c r="D30" s="25"/>
      <c r="E30" s="25"/>
      <c r="F30" s="25"/>
      <c r="G30" s="25"/>
      <c r="H30" s="26">
        <f>Inputs!$B$31/Inputs!$B$27</f>
        <v>3.4124011652101542E-2</v>
      </c>
      <c r="I30" s="26">
        <f>Inputs!$B$31/Inputs!$B$27</f>
        <v>3.4124011652101542E-2</v>
      </c>
      <c r="J30" s="26">
        <f>Inputs!$B$31/Inputs!$B$27</f>
        <v>3.4124011652101542E-2</v>
      </c>
      <c r="K30" s="26">
        <f>Inputs!$B$31/Inputs!$B$27</f>
        <v>3.4124011652101542E-2</v>
      </c>
      <c r="L30" s="26">
        <f>Inputs!$B$31/Inputs!$B$27</f>
        <v>3.4124011652101542E-2</v>
      </c>
      <c r="M30" s="26">
        <f>Inputs!$B$31/Inputs!$B$27</f>
        <v>3.4124011652101542E-2</v>
      </c>
      <c r="N30" s="26">
        <f>Inputs!$B$31/Inputs!$B$27</f>
        <v>3.4124011652101542E-2</v>
      </c>
      <c r="O30" s="26">
        <f>Inputs!$B$31/Inputs!$B$27</f>
        <v>3.4124011652101542E-2</v>
      </c>
      <c r="P30" s="26">
        <f>Inputs!$B$31/Inputs!$B$27</f>
        <v>3.4124011652101542E-2</v>
      </c>
      <c r="Q30" s="26">
        <f>Inputs!$B$31/Inputs!$B$27</f>
        <v>3.4124011652101542E-2</v>
      </c>
    </row>
    <row r="31" spans="1:17" x14ac:dyDescent="0.2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5" t="s">
        <v>724</v>
      </c>
      <c r="B32" s="2"/>
      <c r="C32" s="2"/>
      <c r="D32" s="2"/>
      <c r="E32" s="2"/>
      <c r="F32" s="2"/>
      <c r="G32" s="2"/>
      <c r="H32" s="2">
        <f>H8*H33</f>
        <v>34.901034000000003</v>
      </c>
      <c r="I32" s="2">
        <f>I8*I33</f>
        <v>34.203013320000004</v>
      </c>
      <c r="J32" s="2">
        <f>J8*J33</f>
        <v>33.518953053600001</v>
      </c>
      <c r="K32" s="2">
        <f>K8*K33</f>
        <v>32.848573992528003</v>
      </c>
      <c r="L32" s="2">
        <f>L8*L33</f>
        <v>32.191602512677441</v>
      </c>
      <c r="M32" s="2">
        <f>M8*M33</f>
        <v>31.547770462423891</v>
      </c>
      <c r="N32" s="2">
        <f>N8*N33</f>
        <v>30.916815053175416</v>
      </c>
      <c r="O32" s="2">
        <f>O8*O33</f>
        <v>30.298478752111905</v>
      </c>
      <c r="P32" s="2">
        <f>P8*P33</f>
        <v>29.692509177069667</v>
      </c>
      <c r="Q32" s="2">
        <f>Q8*Q33</f>
        <v>29.098658993528272</v>
      </c>
    </row>
    <row r="33" spans="1:17" x14ac:dyDescent="0.25">
      <c r="A33" s="5" t="s">
        <v>725</v>
      </c>
      <c r="B33" s="2"/>
      <c r="C33" s="2"/>
      <c r="D33" s="2"/>
      <c r="E33" s="2"/>
      <c r="F33" s="2"/>
      <c r="G33" s="2"/>
      <c r="H33" s="24">
        <v>5.0000000000000001E-3</v>
      </c>
      <c r="I33" s="24">
        <v>5.0000000000000001E-3</v>
      </c>
      <c r="J33" s="24">
        <v>5.0000000000000001E-3</v>
      </c>
      <c r="K33" s="24">
        <v>5.0000000000000001E-3</v>
      </c>
      <c r="L33" s="24">
        <v>5.0000000000000001E-3</v>
      </c>
      <c r="M33" s="24">
        <v>5.0000000000000001E-3</v>
      </c>
      <c r="N33" s="24">
        <v>5.0000000000000001E-3</v>
      </c>
      <c r="O33" s="24">
        <v>5.0000000000000001E-3</v>
      </c>
      <c r="P33" s="24">
        <v>5.0000000000000001E-3</v>
      </c>
      <c r="Q33" s="24">
        <v>5.0000000000000001E-3</v>
      </c>
    </row>
    <row r="34" spans="1:17" x14ac:dyDescent="0.25">
      <c r="A34" s="21" t="s">
        <v>87</v>
      </c>
      <c r="B34" s="19">
        <f>IF(COUNT(B40,Assets!B6)=2,B40+Assets!B6,"")</f>
        <v>2372</v>
      </c>
      <c r="C34" s="19">
        <f>IF(COUNT(C40,Assets!C6)=2,C40+Assets!C6,"")</f>
        <v>1597</v>
      </c>
      <c r="D34" s="19">
        <f>IF(COUNT(D40,Assets!D6)=2,D40+Assets!D6,"")</f>
        <v>1554</v>
      </c>
      <c r="E34" s="19">
        <f>IF(COUNT(E40,Assets!E6)=2,E40+Assets!E6,"")</f>
        <v>1548</v>
      </c>
      <c r="F34" s="19">
        <f>IF(COUNT(F40,Assets!F6)=2,F40+Assets!F6,"")</f>
        <v>1380</v>
      </c>
      <c r="G34" s="19">
        <f>IF(COUNT(G40,Assets!G6)=2,G40+Assets!G6,"")</f>
        <v>1452</v>
      </c>
      <c r="H34" s="20">
        <f>H8-H26+H29-H32</f>
        <v>1371.0166069488134</v>
      </c>
      <c r="I34" s="20">
        <f>I8-I26+I29-I32</f>
        <v>1343.5962748098377</v>
      </c>
      <c r="J34" s="20">
        <f>J8-J26+J29-J32</f>
        <v>1316.7243493136409</v>
      </c>
      <c r="K34" s="20">
        <f>K8-K26+K29-K32</f>
        <v>1290.3898623273681</v>
      </c>
      <c r="L34" s="20">
        <f>L8-L26+L29-L32</f>
        <v>1264.5820650808212</v>
      </c>
      <c r="M34" s="20">
        <f>M8-M26+M29-M32</f>
        <v>1239.2904237792045</v>
      </c>
      <c r="N34" s="20">
        <f>N8-N26+N29-N32</f>
        <v>1214.5046153036199</v>
      </c>
      <c r="O34" s="20">
        <f>O8-O26+O29-O32</f>
        <v>1190.2145229975476</v>
      </c>
      <c r="P34" s="20">
        <f>P8-P26+P29-P32</f>
        <v>1166.4102325375964</v>
      </c>
      <c r="Q34" s="20">
        <f>Q8-Q26+Q29-Q32</f>
        <v>1143.0820278868441</v>
      </c>
    </row>
    <row r="35" spans="1:17" s="30" customFormat="1" x14ac:dyDescent="0.25">
      <c r="A35" s="29" t="s">
        <v>88</v>
      </c>
      <c r="B35" s="24">
        <f t="shared" ref="B35:Q35" si="12">IF(AND(COUNT(B34,B8)=2,B8&lt;&gt;0),B34/B8,"")</f>
        <v>0.30093884800811976</v>
      </c>
      <c r="C35" s="24">
        <f t="shared" si="12"/>
        <v>0.21124338624338623</v>
      </c>
      <c r="D35" s="24">
        <f t="shared" si="12"/>
        <v>0.20918023960156146</v>
      </c>
      <c r="E35" s="24">
        <f t="shared" si="12"/>
        <v>0.2118516491035993</v>
      </c>
      <c r="F35" s="24">
        <f t="shared" si="12"/>
        <v>0.1892744479495268</v>
      </c>
      <c r="G35" s="24">
        <f t="shared" si="12"/>
        <v>0.20141489804411153</v>
      </c>
      <c r="H35" s="24">
        <f t="shared" si="12"/>
        <v>0.19641489804411144</v>
      </c>
      <c r="I35" s="24">
        <f t="shared" si="12"/>
        <v>0.19641489804411152</v>
      </c>
      <c r="J35" s="24">
        <f t="shared" si="12"/>
        <v>0.19641489804411152</v>
      </c>
      <c r="K35" s="24">
        <f t="shared" si="12"/>
        <v>0.19641489804411152</v>
      </c>
      <c r="L35" s="24">
        <f t="shared" si="12"/>
        <v>0.19641489804411158</v>
      </c>
      <c r="M35" s="24">
        <f t="shared" si="12"/>
        <v>0.19641489804411155</v>
      </c>
      <c r="N35" s="24">
        <f t="shared" si="12"/>
        <v>0.19641489804411144</v>
      </c>
      <c r="O35" s="24">
        <f t="shared" si="12"/>
        <v>0.1964148980441115</v>
      </c>
      <c r="P35" s="24">
        <f t="shared" si="12"/>
        <v>0.19641489804411144</v>
      </c>
      <c r="Q35" s="24">
        <f t="shared" si="12"/>
        <v>0.19641489804411141</v>
      </c>
    </row>
    <row r="36" spans="1:17" x14ac:dyDescent="0.25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5" t="s">
        <v>89</v>
      </c>
      <c r="B37" s="2"/>
      <c r="C37" s="2"/>
      <c r="D37" s="2"/>
      <c r="E37" s="2"/>
      <c r="F37" s="2"/>
      <c r="G37" s="2"/>
      <c r="H37" s="18">
        <f>Assets!H13</f>
        <v>161.45204347950477</v>
      </c>
      <c r="I37" s="18">
        <f>Assets!I13</f>
        <v>170.26758938913599</v>
      </c>
      <c r="J37" s="18">
        <f>Assets!J13</f>
        <v>177.40125103317189</v>
      </c>
      <c r="K37" s="18">
        <f>Assets!K13</f>
        <v>183.07486276534971</v>
      </c>
      <c r="L37" s="18">
        <f>Assets!L13</f>
        <v>187.48229766877887</v>
      </c>
      <c r="M37" s="18">
        <f>Assets!M13</f>
        <v>190.79296735429739</v>
      </c>
      <c r="N37" s="18">
        <f>Assets!N13</f>
        <v>193.15488419124381</v>
      </c>
      <c r="O37" s="18">
        <f>Assets!O13</f>
        <v>194.69734066844723</v>
      </c>
      <c r="P37" s="18">
        <f>Assets!P13</f>
        <v>195.53325374597807</v>
      </c>
      <c r="Q37" s="18">
        <f>Assets!Q13</f>
        <v>195.7612160755958</v>
      </c>
    </row>
    <row r="38" spans="1:17" x14ac:dyDescent="0.25">
      <c r="A38" s="5" t="s">
        <v>90</v>
      </c>
      <c r="B38" s="2"/>
      <c r="C38" s="2"/>
      <c r="D38" s="2"/>
      <c r="E38" s="2"/>
      <c r="F38" s="2"/>
      <c r="G38" s="2"/>
      <c r="H38" s="18">
        <f>Assets!H21</f>
        <v>0</v>
      </c>
      <c r="I38" s="18">
        <f>Assets!I21</f>
        <v>0</v>
      </c>
      <c r="J38" s="18">
        <f>Assets!J21</f>
        <v>0</v>
      </c>
      <c r="K38" s="18">
        <f>Assets!K21</f>
        <v>0</v>
      </c>
      <c r="L38" s="18">
        <f>Assets!L21</f>
        <v>0</v>
      </c>
      <c r="M38" s="18">
        <f>Assets!M21</f>
        <v>0</v>
      </c>
      <c r="N38" s="18">
        <f>Assets!N21</f>
        <v>0</v>
      </c>
      <c r="O38" s="18">
        <f>Assets!O21</f>
        <v>0</v>
      </c>
      <c r="P38" s="18">
        <f>Assets!P21</f>
        <v>0</v>
      </c>
      <c r="Q38" s="18">
        <f>Assets!Q21</f>
        <v>0</v>
      </c>
    </row>
    <row r="39" spans="1:17" x14ac:dyDescent="0.25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1" t="s">
        <v>91</v>
      </c>
      <c r="B40" s="19">
        <f>IF(ISNUMBER(History!B10),History!B10,"")</f>
        <v>2009</v>
      </c>
      <c r="C40" s="19">
        <f>IF(ISNUMBER(History!C10),History!C10,"")</f>
        <v>1376</v>
      </c>
      <c r="D40" s="19">
        <f>IF(ISNUMBER(History!D10),History!D10,"")</f>
        <v>1285</v>
      </c>
      <c r="E40" s="19">
        <f>IF(ISNUMBER(History!E10),History!E10,"")</f>
        <v>1266</v>
      </c>
      <c r="F40" s="19">
        <f>IF(ISNUMBER(History!F10),History!F10,"")</f>
        <v>1126</v>
      </c>
      <c r="G40" s="19">
        <f>IF(ISNUMBER(History!G10),History!G10,"")</f>
        <v>1206</v>
      </c>
      <c r="H40" s="20">
        <f t="shared" ref="H40:Q40" si="13">H34-H37-H38</f>
        <v>1209.5645634693087</v>
      </c>
      <c r="I40" s="20">
        <f t="shared" si="13"/>
        <v>1173.3286854207017</v>
      </c>
      <c r="J40" s="20">
        <f t="shared" si="13"/>
        <v>1139.3230982804689</v>
      </c>
      <c r="K40" s="20">
        <f t="shared" si="13"/>
        <v>1107.3149995620183</v>
      </c>
      <c r="L40" s="20">
        <f t="shared" si="13"/>
        <v>1077.0997674120422</v>
      </c>
      <c r="M40" s="20">
        <f t="shared" si="13"/>
        <v>1048.4974564249071</v>
      </c>
      <c r="N40" s="20">
        <f t="shared" si="13"/>
        <v>1021.349731112376</v>
      </c>
      <c r="O40" s="20">
        <f t="shared" si="13"/>
        <v>995.51718232910048</v>
      </c>
      <c r="P40" s="20">
        <f t="shared" si="13"/>
        <v>970.87697879161828</v>
      </c>
      <c r="Q40" s="20">
        <f t="shared" si="13"/>
        <v>947.32081181124829</v>
      </c>
    </row>
    <row r="41" spans="1:17" s="30" customFormat="1" x14ac:dyDescent="0.25">
      <c r="A41" s="29" t="s">
        <v>92</v>
      </c>
      <c r="B41" s="24">
        <f t="shared" ref="B41:Q41" si="14">IF(AND(COUNT(B40,B8)=2,B8&lt;&gt;0),B40/B8,"")</f>
        <v>0.25488454706927177</v>
      </c>
      <c r="C41" s="24">
        <f t="shared" si="14"/>
        <v>0.18201058201058201</v>
      </c>
      <c r="D41" s="24">
        <f t="shared" si="14"/>
        <v>0.17297079014672231</v>
      </c>
      <c r="E41" s="24">
        <f t="shared" si="14"/>
        <v>0.1732585192281374</v>
      </c>
      <c r="F41" s="24">
        <f t="shared" si="14"/>
        <v>0.15443697709504869</v>
      </c>
      <c r="G41" s="24">
        <f t="shared" si="14"/>
        <v>0.16729088639200998</v>
      </c>
      <c r="H41" s="24">
        <f t="shared" si="14"/>
        <v>0.17328491807281537</v>
      </c>
      <c r="I41" s="24">
        <f t="shared" si="14"/>
        <v>0.17152416871039328</v>
      </c>
      <c r="J41" s="24">
        <f t="shared" si="14"/>
        <v>0.16995207106537349</v>
      </c>
      <c r="K41" s="24">
        <f t="shared" si="14"/>
        <v>0.16854841245374869</v>
      </c>
      <c r="L41" s="24">
        <f t="shared" si="14"/>
        <v>0.16729514583622659</v>
      </c>
      <c r="M41" s="24">
        <f t="shared" si="14"/>
        <v>0.16617615778486752</v>
      </c>
      <c r="N41" s="24">
        <f t="shared" si="14"/>
        <v>0.16517706131043969</v>
      </c>
      <c r="O41" s="24">
        <f t="shared" si="14"/>
        <v>0.16428501088684355</v>
      </c>
      <c r="P41" s="24">
        <f t="shared" si="14"/>
        <v>0.1634885372943469</v>
      </c>
      <c r="Q41" s="24">
        <f t="shared" si="14"/>
        <v>0.16277740015818917</v>
      </c>
    </row>
    <row r="42" spans="1:17" x14ac:dyDescent="0.2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5" t="s">
        <v>93</v>
      </c>
      <c r="B43" s="18">
        <f>IF(ISNUMBER(History!B16),History!B16,"")</f>
        <v>-388</v>
      </c>
      <c r="C43" s="18">
        <f>IF(ISNUMBER(History!C16),History!C16,"")</f>
        <v>-348</v>
      </c>
      <c r="D43" s="18">
        <f>IF(ISNUMBER(History!D16),History!D16,"")</f>
        <v>-345</v>
      </c>
      <c r="E43" s="18">
        <f>IF(ISNUMBER(History!E16),History!E16,"")</f>
        <v>-312</v>
      </c>
      <c r="F43" s="18">
        <f>IF(ISNUMBER(History!F16),History!F16,"")</f>
        <v>-276</v>
      </c>
      <c r="G43" s="18" t="str">
        <f>IF(ISNUMBER(History!G16),History!G16,"")</f>
        <v/>
      </c>
      <c r="H43" s="18">
        <f>(Inputs!$B$18+Inputs!$B$19+Inputs!$B$20)*H44*H5</f>
        <v>234.91</v>
      </c>
      <c r="I43" s="18">
        <f>(Inputs!$B$18+Inputs!$B$19+Inputs!$B$20)*I44*I5</f>
        <v>234.91</v>
      </c>
      <c r="J43" s="18">
        <f>(Inputs!$B$18+Inputs!$B$19+Inputs!$B$20)*J44*J5</f>
        <v>234.91</v>
      </c>
      <c r="K43" s="18">
        <f>(Inputs!$B$18+Inputs!$B$19+Inputs!$B$20)*K44*K5</f>
        <v>234.91</v>
      </c>
      <c r="L43" s="18">
        <f>(Inputs!$B$18+Inputs!$B$19+Inputs!$B$20)*L44*L5</f>
        <v>234.91</v>
      </c>
      <c r="M43" s="18">
        <f>(Inputs!$B$18+Inputs!$B$19+Inputs!$B$20)*M44*M5</f>
        <v>234.91</v>
      </c>
      <c r="N43" s="18">
        <f>(Inputs!$B$18+Inputs!$B$19+Inputs!$B$20)*N44*N5</f>
        <v>234.91</v>
      </c>
      <c r="O43" s="18">
        <f>(Inputs!$B$18+Inputs!$B$19+Inputs!$B$20)*O44*O5</f>
        <v>234.91</v>
      </c>
      <c r="P43" s="18">
        <f>(Inputs!$B$18+Inputs!$B$19+Inputs!$B$20)*P44*P5</f>
        <v>234.91</v>
      </c>
      <c r="Q43" s="18">
        <f>(Inputs!$B$18+Inputs!$B$19+Inputs!$B$20)*Q44*Q5</f>
        <v>234.91</v>
      </c>
    </row>
    <row r="44" spans="1:17" s="30" customFormat="1" x14ac:dyDescent="0.25">
      <c r="A44" s="29" t="s">
        <v>94</v>
      </c>
      <c r="B44" s="25"/>
      <c r="C44" s="25"/>
      <c r="D44" s="25"/>
      <c r="E44" s="25"/>
      <c r="F44" s="25"/>
      <c r="G44" s="25"/>
      <c r="H44" s="26">
        <f>Inputs!$B$63</f>
        <v>6.5000000000000002E-2</v>
      </c>
      <c r="I44" s="26">
        <f>Inputs!$B$63</f>
        <v>6.5000000000000002E-2</v>
      </c>
      <c r="J44" s="26">
        <f>Inputs!$B$63</f>
        <v>6.5000000000000002E-2</v>
      </c>
      <c r="K44" s="26">
        <f>Inputs!$B$63</f>
        <v>6.5000000000000002E-2</v>
      </c>
      <c r="L44" s="26">
        <f>Inputs!$B$63</f>
        <v>6.5000000000000002E-2</v>
      </c>
      <c r="M44" s="26">
        <f>Inputs!$B$63</f>
        <v>6.5000000000000002E-2</v>
      </c>
      <c r="N44" s="26">
        <f>Inputs!$B$63</f>
        <v>6.5000000000000002E-2</v>
      </c>
      <c r="O44" s="26">
        <f>Inputs!$B$63</f>
        <v>6.5000000000000002E-2</v>
      </c>
      <c r="P44" s="26">
        <f>Inputs!$B$63</f>
        <v>6.5000000000000002E-2</v>
      </c>
      <c r="Q44" s="26">
        <f>Inputs!$B$63</f>
        <v>6.5000000000000002E-2</v>
      </c>
    </row>
    <row r="45" spans="1:17" x14ac:dyDescent="0.2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5" t="s">
        <v>95</v>
      </c>
      <c r="B46" s="2"/>
      <c r="C46" s="2"/>
      <c r="D46" s="2"/>
      <c r="E46" s="2"/>
      <c r="F46" s="2"/>
      <c r="G46" s="2"/>
      <c r="H46" s="18">
        <f>(Inputs!$B$5+Inputs!$B$6)*H47*H5</f>
        <v>0</v>
      </c>
      <c r="I46" s="18">
        <f>(Inputs!$B$5+Inputs!$B$6)*I47*I5</f>
        <v>0</v>
      </c>
      <c r="J46" s="18">
        <f>(Inputs!$B$5+Inputs!$B$6)*J47*J5</f>
        <v>0</v>
      </c>
      <c r="K46" s="18">
        <f>(Inputs!$B$5+Inputs!$B$6)*K47*K5</f>
        <v>0</v>
      </c>
      <c r="L46" s="18">
        <f>(Inputs!$B$5+Inputs!$B$6)*L47*L5</f>
        <v>0</v>
      </c>
      <c r="M46" s="18">
        <f>(Inputs!$B$5+Inputs!$B$6)*M47*M5</f>
        <v>0</v>
      </c>
      <c r="N46" s="18">
        <f>(Inputs!$B$5+Inputs!$B$6)*N47*N5</f>
        <v>0</v>
      </c>
      <c r="O46" s="18">
        <f>(Inputs!$B$5+Inputs!$B$6)*O47*O5</f>
        <v>0</v>
      </c>
      <c r="P46" s="18">
        <f>(Inputs!$B$5+Inputs!$B$6)*P47*P5</f>
        <v>0</v>
      </c>
      <c r="Q46" s="18">
        <f>(Inputs!$B$5+Inputs!$B$6)*Q47*Q5</f>
        <v>0</v>
      </c>
    </row>
    <row r="47" spans="1:17" s="30" customFormat="1" x14ac:dyDescent="0.25">
      <c r="A47" s="29" t="s">
        <v>96</v>
      </c>
      <c r="B47" s="25"/>
      <c r="C47" s="25"/>
      <c r="D47" s="25"/>
      <c r="E47" s="25"/>
      <c r="F47" s="25"/>
      <c r="G47" s="25"/>
      <c r="H47" s="26">
        <f>Inputs!$B$60</f>
        <v>0.04</v>
      </c>
      <c r="I47" s="26">
        <f>Inputs!$B$60</f>
        <v>0.04</v>
      </c>
      <c r="J47" s="26">
        <f>Inputs!$B$60</f>
        <v>0.04</v>
      </c>
      <c r="K47" s="26">
        <f>Inputs!$B$60</f>
        <v>0.04</v>
      </c>
      <c r="L47" s="26">
        <f>Inputs!$B$60</f>
        <v>0.04</v>
      </c>
      <c r="M47" s="26">
        <f>Inputs!$B$60</f>
        <v>0.04</v>
      </c>
      <c r="N47" s="26">
        <f>Inputs!$B$60</f>
        <v>0.04</v>
      </c>
      <c r="O47" s="26">
        <f>Inputs!$B$60</f>
        <v>0.04</v>
      </c>
      <c r="P47" s="26">
        <f>Inputs!$B$60</f>
        <v>0.04</v>
      </c>
      <c r="Q47" s="26">
        <f>Inputs!$B$60</f>
        <v>0.04</v>
      </c>
    </row>
    <row r="48" spans="1:17" x14ac:dyDescent="0.25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1" t="s">
        <v>97</v>
      </c>
      <c r="B49" s="19">
        <f>IF(ISNUMBER(History!B11),History!B11,"")</f>
        <v>1423</v>
      </c>
      <c r="C49" s="19">
        <f>IF(ISNUMBER(History!C11),History!C11,"")</f>
        <v>1045</v>
      </c>
      <c r="D49" s="19">
        <f>IF(ISNUMBER(History!D11),History!D11,"")</f>
        <v>1021</v>
      </c>
      <c r="E49" s="19">
        <f>IF(ISNUMBER(History!E11),History!E11,"")</f>
        <v>1028</v>
      </c>
      <c r="F49" s="19">
        <f>IF(ISNUMBER(History!F11),History!F11,"")</f>
        <v>882</v>
      </c>
      <c r="G49" s="19">
        <f>IF(ISNUMBER(History!G11),History!G11,"")</f>
        <v>971</v>
      </c>
      <c r="H49" s="20">
        <f t="shared" ref="H49:Q49" si="15">H40-H43+H46</f>
        <v>974.65456346930875</v>
      </c>
      <c r="I49" s="20">
        <f t="shared" si="15"/>
        <v>938.41868542070176</v>
      </c>
      <c r="J49" s="20">
        <f t="shared" si="15"/>
        <v>904.41309828046894</v>
      </c>
      <c r="K49" s="20">
        <f t="shared" si="15"/>
        <v>872.40499956201836</v>
      </c>
      <c r="L49" s="20">
        <f t="shared" si="15"/>
        <v>842.18976741204222</v>
      </c>
      <c r="M49" s="20">
        <f t="shared" si="15"/>
        <v>813.58745642490715</v>
      </c>
      <c r="N49" s="20">
        <f t="shared" si="15"/>
        <v>786.43973111237608</v>
      </c>
      <c r="O49" s="20">
        <f t="shared" si="15"/>
        <v>760.60718232910051</v>
      </c>
      <c r="P49" s="20">
        <f t="shared" si="15"/>
        <v>735.96697879161832</v>
      </c>
      <c r="Q49" s="20">
        <f t="shared" si="15"/>
        <v>712.41081181124832</v>
      </c>
    </row>
    <row r="50" spans="1:17" x14ac:dyDescent="0.25">
      <c r="A50" s="5" t="s">
        <v>98</v>
      </c>
      <c r="B50" s="18">
        <f>IF(ISNUMBER(History!B45),History!B45,"")</f>
        <v>348</v>
      </c>
      <c r="C50" s="18">
        <f>IF(ISNUMBER(History!C45),History!C45,"")</f>
        <v>251</v>
      </c>
      <c r="D50" s="18">
        <f>IF(ISNUMBER(History!D45),History!D45,"")</f>
        <v>143</v>
      </c>
      <c r="E50" s="18">
        <f>IF(ISNUMBER(History!E45),History!E45,"")</f>
        <v>230</v>
      </c>
      <c r="F50" s="18">
        <f>IF(ISNUMBER(History!F45),History!F45,"")</f>
        <v>233</v>
      </c>
      <c r="G50" s="18">
        <f>Inputs!$B$30</f>
        <v>190</v>
      </c>
      <c r="H50" s="2">
        <f t="shared" ref="H50:Q50" si="16">MAX(0,H49)*H51</f>
        <v>190.71510510727978</v>
      </c>
      <c r="I50" s="2">
        <f t="shared" si="16"/>
        <v>183.6246655303124</v>
      </c>
      <c r="J50" s="2">
        <f t="shared" si="16"/>
        <v>176.97063715065821</v>
      </c>
      <c r="K50" s="2">
        <f t="shared" si="16"/>
        <v>170.70746644364934</v>
      </c>
      <c r="L50" s="2">
        <f t="shared" si="16"/>
        <v>164.79511411770136</v>
      </c>
      <c r="M50" s="2">
        <f t="shared" si="16"/>
        <v>159.19836943432787</v>
      </c>
      <c r="N50" s="2">
        <f t="shared" si="16"/>
        <v>153.88625016617041</v>
      </c>
      <c r="O50" s="2">
        <f t="shared" si="16"/>
        <v>148.8314774897313</v>
      </c>
      <c r="P50" s="2">
        <f t="shared" si="16"/>
        <v>144.01001644738156</v>
      </c>
      <c r="Q50" s="2">
        <f t="shared" si="16"/>
        <v>139.40067378386939</v>
      </c>
    </row>
    <row r="51" spans="1:17" s="30" customFormat="1" x14ac:dyDescent="0.25">
      <c r="A51" s="29" t="s">
        <v>99</v>
      </c>
      <c r="B51" s="25">
        <f t="shared" ref="B51:G51" si="17">IF(AND(COUNT(B50,B49)=2,B49&lt;&gt;0),B50/B49,"")</f>
        <v>0.24455375966268447</v>
      </c>
      <c r="C51" s="25">
        <f t="shared" si="17"/>
        <v>0.24019138755980862</v>
      </c>
      <c r="D51" s="25">
        <f t="shared" si="17"/>
        <v>0.14005876591576885</v>
      </c>
      <c r="E51" s="25">
        <f t="shared" si="17"/>
        <v>0.22373540856031129</v>
      </c>
      <c r="F51" s="25">
        <f t="shared" si="17"/>
        <v>0.26417233560090703</v>
      </c>
      <c r="G51" s="25">
        <f t="shared" si="17"/>
        <v>0.19567456230690011</v>
      </c>
      <c r="H51" s="26">
        <f>Inputs!$B$52</f>
        <v>0.19567456230690011</v>
      </c>
      <c r="I51" s="26">
        <f>Inputs!$B$52</f>
        <v>0.19567456230690011</v>
      </c>
      <c r="J51" s="26">
        <f>Inputs!$B$52</f>
        <v>0.19567456230690011</v>
      </c>
      <c r="K51" s="26">
        <f>Inputs!$B$52</f>
        <v>0.19567456230690011</v>
      </c>
      <c r="L51" s="26">
        <f>Inputs!$B$52</f>
        <v>0.19567456230690011</v>
      </c>
      <c r="M51" s="26">
        <f>Inputs!$B$52</f>
        <v>0.19567456230690011</v>
      </c>
      <c r="N51" s="26">
        <f>Inputs!$B$52</f>
        <v>0.19567456230690011</v>
      </c>
      <c r="O51" s="26">
        <f>Inputs!$B$52</f>
        <v>0.19567456230690011</v>
      </c>
      <c r="P51" s="26">
        <f>Inputs!$B$52</f>
        <v>0.19567456230690011</v>
      </c>
      <c r="Q51" s="26">
        <f>Inputs!$B$52</f>
        <v>0.19567456230690011</v>
      </c>
    </row>
    <row r="52" spans="1:17" x14ac:dyDescent="0.25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1" t="s">
        <v>100</v>
      </c>
      <c r="B53" s="19">
        <f>IF(ISNUMBER(History!B13),History!B13,"")</f>
        <v>1333</v>
      </c>
      <c r="C53" s="19">
        <f>IF(ISNUMBER(History!C13),History!C13,"")</f>
        <v>800</v>
      </c>
      <c r="D53" s="19">
        <f>IF(ISNUMBER(History!D13),History!D13,"")</f>
        <v>878</v>
      </c>
      <c r="E53" s="19">
        <f>IF(ISNUMBER(History!E13),History!E13,"")</f>
        <v>798</v>
      </c>
      <c r="F53" s="19">
        <f>IF(ISNUMBER(History!F13),History!F13,"")</f>
        <v>649</v>
      </c>
      <c r="G53" s="19">
        <f>IF(ISNUMBER(History!G13),History!G13,"")</f>
        <v>781</v>
      </c>
      <c r="H53" s="20">
        <f t="shared" ref="H53:Q53" si="18">H49-H50</f>
        <v>783.93945836202897</v>
      </c>
      <c r="I53" s="20">
        <f t="shared" si="18"/>
        <v>754.79401989038934</v>
      </c>
      <c r="J53" s="20">
        <f t="shared" si="18"/>
        <v>727.44246112981068</v>
      </c>
      <c r="K53" s="20">
        <f t="shared" si="18"/>
        <v>701.69753311836905</v>
      </c>
      <c r="L53" s="20">
        <f t="shared" si="18"/>
        <v>677.39465329434086</v>
      </c>
      <c r="M53" s="20">
        <f t="shared" si="18"/>
        <v>654.38908699057924</v>
      </c>
      <c r="N53" s="20">
        <f t="shared" si="18"/>
        <v>632.5534809462057</v>
      </c>
      <c r="O53" s="20">
        <f t="shared" si="18"/>
        <v>611.77570483936915</v>
      </c>
      <c r="P53" s="20">
        <f t="shared" si="18"/>
        <v>591.95696234423679</v>
      </c>
      <c r="Q53" s="20">
        <f t="shared" si="18"/>
        <v>573.01013802737896</v>
      </c>
    </row>
    <row r="54" spans="1:17" s="30" customFormat="1" x14ac:dyDescent="0.25">
      <c r="A54" s="29" t="s">
        <v>101</v>
      </c>
      <c r="B54" s="24">
        <f t="shared" ref="B54:Q54" si="19">IF(AND(COUNT(B53,B8)=2,B8&lt;&gt;0),B53/B8,"")</f>
        <v>0.16911951281400658</v>
      </c>
      <c r="C54" s="24">
        <f t="shared" si="19"/>
        <v>0.10582010582010581</v>
      </c>
      <c r="D54" s="24">
        <f t="shared" si="19"/>
        <v>0.11818548929869431</v>
      </c>
      <c r="E54" s="24">
        <f t="shared" si="19"/>
        <v>0.10921034624332832</v>
      </c>
      <c r="F54" s="24">
        <f t="shared" si="19"/>
        <v>8.9013852695103549E-2</v>
      </c>
      <c r="G54" s="24">
        <f t="shared" si="19"/>
        <v>0.10833680122069635</v>
      </c>
      <c r="H54" s="24">
        <f t="shared" si="19"/>
        <v>0.11230891588513237</v>
      </c>
      <c r="I54" s="24">
        <f t="shared" si="19"/>
        <v>0.11034028096130176</v>
      </c>
      <c r="J54" s="24">
        <f t="shared" si="19"/>
        <v>0.10851210954688247</v>
      </c>
      <c r="K54" s="24">
        <f t="shared" si="19"/>
        <v>0.1068079139870703</v>
      </c>
      <c r="L54" s="24">
        <f t="shared" si="19"/>
        <v>0.10521294381470675</v>
      </c>
      <c r="M54" s="24">
        <f t="shared" si="19"/>
        <v>0.10371399902411693</v>
      </c>
      <c r="N54" s="24">
        <f t="shared" si="19"/>
        <v>0.10229926333909954</v>
      </c>
      <c r="O54" s="24">
        <f t="shared" si="19"/>
        <v>0.10095815533258849</v>
      </c>
      <c r="P54" s="24">
        <f t="shared" si="19"/>
        <v>9.9681195485052068E-2</v>
      </c>
      <c r="Q54" s="24">
        <f t="shared" si="19"/>
        <v>9.8459887473649574E-2</v>
      </c>
    </row>
    <row r="55" spans="1:17" x14ac:dyDescent="0.2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5" t="s">
        <v>102</v>
      </c>
      <c r="B56" s="18">
        <f>IF(ISNUMBER(History!B14),History!B14,"")</f>
        <v>258</v>
      </c>
      <c r="C56" s="18">
        <f>IF(ISNUMBER(History!C14),History!C14,"")</f>
        <v>6</v>
      </c>
      <c r="D56" s="18" t="str">
        <f>IF(ISNUMBER(History!D14),History!D14,"")</f>
        <v/>
      </c>
      <c r="E56" s="18" t="str">
        <f>IF(ISNUMBER(History!E14),History!E14,"")</f>
        <v/>
      </c>
      <c r="F56" s="18" t="str">
        <f>IF(ISNUMBER(History!F14),History!F14,"")</f>
        <v/>
      </c>
      <c r="G56" s="18" t="str">
        <f>IF(ISNUMBER(History!G14),History!G14,"")</f>
        <v/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5" t="s">
        <v>103</v>
      </c>
      <c r="B57" s="18">
        <f>IF(ISNUMBER(History!B4),History!B4,"")</f>
        <v>1075</v>
      </c>
      <c r="C57" s="18">
        <f>IF(ISNUMBER(History!C4),History!C4,"")</f>
        <v>794</v>
      </c>
      <c r="D57" s="18" t="str">
        <f>IF(ISNUMBER(History!D4),History!D4,"")</f>
        <v/>
      </c>
      <c r="E57" s="18" t="str">
        <f>IF(ISNUMBER(History!E4),History!E4,"")</f>
        <v/>
      </c>
      <c r="F57" s="18" t="str">
        <f>IF(ISNUMBER(History!F4),History!F4,"")</f>
        <v/>
      </c>
      <c r="G57" s="18" t="str">
        <f>IF(ISNUMBER(History!G4),History!G4,"")</f>
        <v/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68.099999999999994" customHeight="1" x14ac:dyDescent="0.25">
      <c r="A59" s="43" t="s">
        <v>104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</row>
  </sheetData>
  <mergeCells count="3">
    <mergeCell ref="A2:Q2"/>
    <mergeCell ref="A1:Q1"/>
    <mergeCell ref="A59:Q59"/>
  </mergeCells>
  <pageMargins left="0.7" right="0.7" top="0.75" bottom="0.75" header="0.3" footer="0.3"/>
  <pageSetup paperSize="9" scale="3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8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Q1"/>
    </sheetView>
  </sheetViews>
  <sheetFormatPr defaultColWidth="8.42578125" defaultRowHeight="15" x14ac:dyDescent="0.25"/>
  <cols>
    <col min="1" max="1" width="59.7109375" style="4" customWidth="1"/>
    <col min="2" max="17" width="17.7109375" customWidth="1"/>
  </cols>
  <sheetData>
    <row r="1" spans="1:17" ht="30" customHeight="1" x14ac:dyDescent="0.25">
      <c r="A1" s="42" t="s">
        <v>105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2.1" customHeight="1" x14ac:dyDescent="0.25">
      <c r="A2" s="41" t="s">
        <v>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s="4" customFormat="1" ht="42" customHeight="1" x14ac:dyDescent="0.25">
      <c r="A3" s="3" t="s">
        <v>55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106</v>
      </c>
      <c r="H3" s="17" t="s">
        <v>62</v>
      </c>
      <c r="I3" s="17" t="s">
        <v>63</v>
      </c>
      <c r="J3" s="17" t="s">
        <v>64</v>
      </c>
      <c r="K3" s="17" t="s">
        <v>65</v>
      </c>
      <c r="L3" s="17" t="s">
        <v>66</v>
      </c>
      <c r="M3" s="17" t="s">
        <v>67</v>
      </c>
      <c r="N3" s="17" t="s">
        <v>68</v>
      </c>
      <c r="O3" s="17" t="s">
        <v>69</v>
      </c>
      <c r="P3" s="17" t="s">
        <v>70</v>
      </c>
      <c r="Q3" s="17" t="s">
        <v>71</v>
      </c>
    </row>
    <row r="4" spans="1:17" x14ac:dyDescent="0.2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5" t="s">
        <v>107</v>
      </c>
      <c r="B6" s="18">
        <f>IF(ISNUMBER(History!B17),History!B17,"")</f>
        <v>1979</v>
      </c>
      <c r="C6" s="18">
        <f>IF(ISNUMBER(History!C17),History!C17,"")</f>
        <v>1232</v>
      </c>
      <c r="D6" s="18">
        <f>IF(ISNUMBER(History!D17),History!D17,"")</f>
        <v>1084</v>
      </c>
      <c r="E6" s="18">
        <f>IF(ISNUMBER(History!E17),History!E17,"")</f>
        <v>674</v>
      </c>
      <c r="F6" s="18">
        <f>IF(ISNUMBER(History!F17),History!F17,"")</f>
        <v>953</v>
      </c>
      <c r="G6" s="18">
        <f>Inputs!$B$4</f>
        <v>794</v>
      </c>
      <c r="H6" s="18">
        <f>CashFlow!H30</f>
        <v>1997.6799049087174</v>
      </c>
      <c r="I6" s="18">
        <f>CashFlow!I30</f>
        <v>2711.0017967483755</v>
      </c>
      <c r="J6" s="18">
        <f>CashFlow!J30</f>
        <v>3408.3405858202882</v>
      </c>
      <c r="K6" s="18">
        <f>CashFlow!K30</f>
        <v>4089.7581570747593</v>
      </c>
      <c r="L6" s="18">
        <f>CashFlow!L30</f>
        <v>4755.3473799012154</v>
      </c>
      <c r="M6" s="18">
        <f>CashFlow!M30</f>
        <v>5405.2274606721621</v>
      </c>
      <c r="N6" s="18">
        <f>CashFlow!N30</f>
        <v>6039.5398917071607</v>
      </c>
      <c r="O6" s="18">
        <f>CashFlow!O30</f>
        <v>6658.4449217945739</v>
      </c>
      <c r="P6" s="18">
        <f>CashFlow!P30</f>
        <v>7262.1184827727939</v>
      </c>
      <c r="Q6" s="18">
        <f>CashFlow!Q30</f>
        <v>7850.7495148660146</v>
      </c>
    </row>
    <row r="7" spans="1:17" x14ac:dyDescent="0.25">
      <c r="A7" s="5" t="s">
        <v>108</v>
      </c>
      <c r="B7" s="2"/>
      <c r="C7" s="2"/>
      <c r="D7" s="2"/>
      <c r="E7" s="2"/>
      <c r="F7" s="2"/>
      <c r="G7" s="18">
        <f>Inputs!$B$5+Inputs!$B$6</f>
        <v>0</v>
      </c>
      <c r="H7" s="18">
        <f>Inputs!$B$5+Inputs!$B$6</f>
        <v>0</v>
      </c>
      <c r="I7" s="18">
        <f>Inputs!$B$5+Inputs!$B$6</f>
        <v>0</v>
      </c>
      <c r="J7" s="18">
        <f>Inputs!$B$5+Inputs!$B$6</f>
        <v>0</v>
      </c>
      <c r="K7" s="18">
        <f>Inputs!$B$5+Inputs!$B$6</f>
        <v>0</v>
      </c>
      <c r="L7" s="18">
        <f>Inputs!$B$5+Inputs!$B$6</f>
        <v>0</v>
      </c>
      <c r="M7" s="18">
        <f>Inputs!$B$5+Inputs!$B$6</f>
        <v>0</v>
      </c>
      <c r="N7" s="18">
        <f>Inputs!$B$5+Inputs!$B$6</f>
        <v>0</v>
      </c>
      <c r="O7" s="18">
        <f>Inputs!$B$5+Inputs!$B$6</f>
        <v>0</v>
      </c>
      <c r="P7" s="18">
        <f>Inputs!$B$5+Inputs!$B$6</f>
        <v>0</v>
      </c>
      <c r="Q7" s="18">
        <f>Inputs!$B$5+Inputs!$B$6</f>
        <v>0</v>
      </c>
    </row>
    <row r="8" spans="1:17" x14ac:dyDescent="0.25">
      <c r="A8" s="5" t="s">
        <v>109</v>
      </c>
      <c r="B8" s="18">
        <f>IF(ISNUMBER(WorkingCapital!B8),WorkingCapital!B8,"")</f>
        <v>1030</v>
      </c>
      <c r="C8" s="18">
        <f>IF(ISNUMBER(WorkingCapital!C8),WorkingCapital!C8,"")</f>
        <v>1034</v>
      </c>
      <c r="D8" s="18">
        <f>IF(ISNUMBER(WorkingCapital!D8),WorkingCapital!D8,"")</f>
        <v>1031</v>
      </c>
      <c r="E8" s="18">
        <f>IF(ISNUMBER(WorkingCapital!E8),WorkingCapital!E8,"")</f>
        <v>1149</v>
      </c>
      <c r="F8" s="18">
        <f>IF(ISNUMBER(WorkingCapital!F8),WorkingCapital!F8,"")</f>
        <v>1066</v>
      </c>
      <c r="G8" s="18">
        <f>Inputs!$B$7</f>
        <v>1256</v>
      </c>
      <c r="H8" s="18">
        <f>WorkingCapital!H8</f>
        <v>1216.1381246774865</v>
      </c>
      <c r="I8" s="18">
        <f>WorkingCapital!I8</f>
        <v>1191.8153621839367</v>
      </c>
      <c r="J8" s="18">
        <f>WorkingCapital!J8</f>
        <v>1167.979054940258</v>
      </c>
      <c r="K8" s="18">
        <f>WorkingCapital!K8</f>
        <v>1144.6194738414529</v>
      </c>
      <c r="L8" s="18">
        <f>WorkingCapital!L8</f>
        <v>1121.7270843646238</v>
      </c>
      <c r="M8" s="18">
        <f>WorkingCapital!M8</f>
        <v>1099.2925426773313</v>
      </c>
      <c r="N8" s="18">
        <f>WorkingCapital!N8</f>
        <v>1077.3066918237846</v>
      </c>
      <c r="O8" s="18">
        <f>WorkingCapital!O8</f>
        <v>1055.7605579873091</v>
      </c>
      <c r="P8" s="18">
        <f>WorkingCapital!P8</f>
        <v>1034.6453468275627</v>
      </c>
      <c r="Q8" s="18">
        <f>WorkingCapital!Q8</f>
        <v>1013.9524398910114</v>
      </c>
    </row>
    <row r="9" spans="1:17" x14ac:dyDescent="0.25">
      <c r="A9" s="5" t="s">
        <v>110</v>
      </c>
      <c r="B9" s="2"/>
      <c r="C9" s="2"/>
      <c r="D9" s="2"/>
      <c r="E9" s="2"/>
      <c r="F9" s="2"/>
      <c r="G9" s="18">
        <f>Inputs!$B$8+Inputs!$B$9+Inputs!$B$10</f>
        <v>0</v>
      </c>
      <c r="H9" s="18">
        <f>WorkingCapital!H10+WorkingCapital!H12+WorkingCapital!H14</f>
        <v>0</v>
      </c>
      <c r="I9" s="18">
        <f>WorkingCapital!I10+WorkingCapital!I12+WorkingCapital!I14</f>
        <v>0</v>
      </c>
      <c r="J9" s="18">
        <f>WorkingCapital!J10+WorkingCapital!J12+WorkingCapital!J14</f>
        <v>0</v>
      </c>
      <c r="K9" s="18">
        <f>WorkingCapital!K10+WorkingCapital!K12+WorkingCapital!K14</f>
        <v>0</v>
      </c>
      <c r="L9" s="18">
        <f>WorkingCapital!L10+WorkingCapital!L12+WorkingCapital!L14</f>
        <v>0</v>
      </c>
      <c r="M9" s="18">
        <f>WorkingCapital!M10+WorkingCapital!M12+WorkingCapital!M14</f>
        <v>0</v>
      </c>
      <c r="N9" s="18">
        <f>WorkingCapital!N10+WorkingCapital!N12+WorkingCapital!N14</f>
        <v>0</v>
      </c>
      <c r="O9" s="18">
        <f>WorkingCapital!O10+WorkingCapital!O12+WorkingCapital!O14</f>
        <v>0</v>
      </c>
      <c r="P9" s="18">
        <f>WorkingCapital!P10+WorkingCapital!P12+WorkingCapital!P14</f>
        <v>0</v>
      </c>
      <c r="Q9" s="18">
        <f>WorkingCapital!Q10+WorkingCapital!Q12+WorkingCapital!Q14</f>
        <v>0</v>
      </c>
    </row>
    <row r="10" spans="1:17" x14ac:dyDescent="0.25">
      <c r="A10" s="5" t="s">
        <v>111</v>
      </c>
      <c r="B10" s="18">
        <f>IF(ISNUMBER(History!B23),History!B23,"")</f>
        <v>1009</v>
      </c>
      <c r="C10" s="18">
        <f>IF(ISNUMBER(History!C23),History!C23,"")</f>
        <v>1193</v>
      </c>
      <c r="D10" s="18">
        <f>IF(ISNUMBER(History!D23),History!D23,"")</f>
        <v>1220</v>
      </c>
      <c r="E10" s="18">
        <f>IF(ISNUMBER(History!E23),History!E23,"")</f>
        <v>1127</v>
      </c>
      <c r="F10" s="18">
        <f>IF(ISNUMBER(History!F23),History!F23,"")</f>
        <v>1127</v>
      </c>
      <c r="G10" s="18">
        <f>Inputs!$B$11</f>
        <v>1106</v>
      </c>
      <c r="H10" s="18">
        <f>Assets!H14</f>
        <v>1247.3241077689347</v>
      </c>
      <c r="I10" s="18">
        <f>Assets!I14</f>
        <v>1306.6897330681049</v>
      </c>
      <c r="J10" s="18">
        <f>Assets!J14</f>
        <v>1354.329032429473</v>
      </c>
      <c r="K10" s="18">
        <f>Assets!K14</f>
        <v>1391.7939090507728</v>
      </c>
      <c r="L10" s="18">
        <f>Assets!L14</f>
        <v>1420.4405559809102</v>
      </c>
      <c r="M10" s="18">
        <f>Assets!M14</f>
        <v>1441.4539543335509</v>
      </c>
      <c r="N10" s="18">
        <f>Assets!N14</f>
        <v>1455.8693085351063</v>
      </c>
      <c r="O10" s="18">
        <f>Assets!O14</f>
        <v>1464.5908014916024</v>
      </c>
      <c r="P10" s="18">
        <f>Assets!P14</f>
        <v>1468.4080046980687</v>
      </c>
      <c r="Q10" s="18">
        <f>Assets!Q14</f>
        <v>1468.0102364358686</v>
      </c>
    </row>
    <row r="11" spans="1:17" x14ac:dyDescent="0.25">
      <c r="A11" s="5" t="s">
        <v>112</v>
      </c>
      <c r="B11" s="2"/>
      <c r="C11" s="2"/>
      <c r="D11" s="2"/>
      <c r="E11" s="2"/>
      <c r="F11" s="2"/>
      <c r="G11" s="18">
        <f>Inputs!$B$12</f>
        <v>0</v>
      </c>
      <c r="H11" s="18">
        <f>Assets!H22</f>
        <v>0</v>
      </c>
      <c r="I11" s="18">
        <f>Assets!I22</f>
        <v>0</v>
      </c>
      <c r="J11" s="18">
        <f>Assets!J22</f>
        <v>0</v>
      </c>
      <c r="K11" s="18">
        <f>Assets!K22</f>
        <v>0</v>
      </c>
      <c r="L11" s="18">
        <f>Assets!L22</f>
        <v>0</v>
      </c>
      <c r="M11" s="18">
        <f>Assets!M22</f>
        <v>0</v>
      </c>
      <c r="N11" s="18">
        <f>Assets!N22</f>
        <v>0</v>
      </c>
      <c r="O11" s="18">
        <f>Assets!O22</f>
        <v>0</v>
      </c>
      <c r="P11" s="18">
        <f>Assets!P22</f>
        <v>0</v>
      </c>
      <c r="Q11" s="18">
        <f>Assets!Q22</f>
        <v>0</v>
      </c>
    </row>
    <row r="12" spans="1:17" x14ac:dyDescent="0.25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5" t="s">
        <v>113</v>
      </c>
      <c r="B14" s="2"/>
      <c r="C14" s="2"/>
      <c r="D14" s="2"/>
      <c r="E14" s="2"/>
      <c r="F14" s="2"/>
      <c r="G14" s="18">
        <f>Inputs!$B$14</f>
        <v>2000</v>
      </c>
      <c r="H14" s="18">
        <f>Inputs!$B$14</f>
        <v>2000</v>
      </c>
      <c r="I14" s="18">
        <f>Inputs!$B$14</f>
        <v>2000</v>
      </c>
      <c r="J14" s="18">
        <f>Inputs!$B$14</f>
        <v>2000</v>
      </c>
      <c r="K14" s="18">
        <f>Inputs!$B$14</f>
        <v>2000</v>
      </c>
      <c r="L14" s="18">
        <f>Inputs!$B$14</f>
        <v>2000</v>
      </c>
      <c r="M14" s="18">
        <f>Inputs!$B$14</f>
        <v>2000</v>
      </c>
      <c r="N14" s="18">
        <f>Inputs!$B$14</f>
        <v>2000</v>
      </c>
      <c r="O14" s="18">
        <f>Inputs!$B$14</f>
        <v>2000</v>
      </c>
      <c r="P14" s="18">
        <f>Inputs!$B$14</f>
        <v>2000</v>
      </c>
      <c r="Q14" s="18">
        <f>Inputs!$B$14</f>
        <v>2000</v>
      </c>
    </row>
    <row r="15" spans="1:17" x14ac:dyDescent="0.25">
      <c r="A15" s="21" t="s">
        <v>114</v>
      </c>
      <c r="B15" s="19">
        <f>IF(ISNUMBER(History!B25),History!B25,"")</f>
        <v>6026</v>
      </c>
      <c r="C15" s="19">
        <f>IF(ISNUMBER(History!C25),History!C25,"")</f>
        <v>5494</v>
      </c>
      <c r="D15" s="19">
        <f>IF(ISNUMBER(History!D25),History!D25,"")</f>
        <v>5463</v>
      </c>
      <c r="E15" s="19">
        <f>IF(ISNUMBER(History!E25),History!E25,"")</f>
        <v>4872</v>
      </c>
      <c r="F15" s="19">
        <f>IF(ISNUMBER(History!F25),History!F25,"")</f>
        <v>5069</v>
      </c>
      <c r="G15" s="19">
        <f>Inputs!$B$23</f>
        <v>5156</v>
      </c>
      <c r="H15" s="20">
        <f t="shared" ref="H15:Q15" si="0">SUM(H6:H11)+H14</f>
        <v>6461.1421373551384</v>
      </c>
      <c r="I15" s="20">
        <f t="shared" si="0"/>
        <v>7209.5068920004169</v>
      </c>
      <c r="J15" s="20">
        <f t="shared" si="0"/>
        <v>7930.6486731900195</v>
      </c>
      <c r="K15" s="20">
        <f t="shared" si="0"/>
        <v>8626.1715399669847</v>
      </c>
      <c r="L15" s="20">
        <f t="shared" si="0"/>
        <v>9297.5150202467485</v>
      </c>
      <c r="M15" s="20">
        <f t="shared" si="0"/>
        <v>9945.9739576830434</v>
      </c>
      <c r="N15" s="20">
        <f t="shared" si="0"/>
        <v>10572.715892066051</v>
      </c>
      <c r="O15" s="20">
        <f t="shared" si="0"/>
        <v>11178.796281273486</v>
      </c>
      <c r="P15" s="20">
        <f t="shared" si="0"/>
        <v>11765.171834298426</v>
      </c>
      <c r="Q15" s="20">
        <f t="shared" si="0"/>
        <v>12332.712191192893</v>
      </c>
    </row>
    <row r="16" spans="1:17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5" t="s">
        <v>115</v>
      </c>
      <c r="B18" s="18">
        <f>IF(ISNUMBER(WorkingCapital!B18),WorkingCapital!B18,"")</f>
        <v>1290</v>
      </c>
      <c r="C18" s="18">
        <f>IF(ISNUMBER(WorkingCapital!C18),WorkingCapital!C18,"")</f>
        <v>1379</v>
      </c>
      <c r="D18" s="18">
        <f>IF(ISNUMBER(WorkingCapital!D18),WorkingCapital!D18,"")</f>
        <v>1289</v>
      </c>
      <c r="E18" s="18">
        <f>IF(ISNUMBER(WorkingCapital!E18),WorkingCapital!E18,"")</f>
        <v>1231</v>
      </c>
      <c r="F18" s="18">
        <f>IF(ISNUMBER(WorkingCapital!F18),WorkingCapital!F18,"")</f>
        <v>1311</v>
      </c>
      <c r="G18" s="18">
        <f>Inputs!$B$15</f>
        <v>1459</v>
      </c>
      <c r="H18" s="18">
        <f>WorkingCapital!H18</f>
        <v>1412.6954808156474</v>
      </c>
      <c r="I18" s="18">
        <f>WorkingCapital!I18</f>
        <v>1384.4415711993342</v>
      </c>
      <c r="J18" s="18">
        <f>WorkingCapital!J18</f>
        <v>1356.7527397753474</v>
      </c>
      <c r="K18" s="18">
        <f>WorkingCapital!K18</f>
        <v>1329.6176849798405</v>
      </c>
      <c r="L18" s="18">
        <f>WorkingCapital!L18</f>
        <v>1303.0253312802438</v>
      </c>
      <c r="M18" s="18">
        <f>WorkingCapital!M18</f>
        <v>1276.9648246546387</v>
      </c>
      <c r="N18" s="18">
        <f>WorkingCapital!N18</f>
        <v>1251.4255281615463</v>
      </c>
      <c r="O18" s="18">
        <f>WorkingCapital!O18</f>
        <v>1226.3970175983152</v>
      </c>
      <c r="P18" s="18">
        <f>WorkingCapital!P18</f>
        <v>1201.8690772463488</v>
      </c>
      <c r="Q18" s="18">
        <f>WorkingCapital!Q18</f>
        <v>1177.8316957014219</v>
      </c>
    </row>
    <row r="19" spans="1:17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5" t="s">
        <v>116</v>
      </c>
      <c r="B20" s="2"/>
      <c r="C20" s="2"/>
      <c r="D20" s="2"/>
      <c r="E20" s="2"/>
      <c r="F20" s="2"/>
      <c r="G20" s="18">
        <f>Inputs!$B$18+Inputs!$B$19+Inputs!$B$20</f>
        <v>3614</v>
      </c>
      <c r="H20" s="18">
        <f>Inputs!$B$18+Inputs!$B$19+Inputs!$B$20</f>
        <v>3614</v>
      </c>
      <c r="I20" s="18">
        <f>Inputs!$B$18+Inputs!$B$19+Inputs!$B$20</f>
        <v>3614</v>
      </c>
      <c r="J20" s="18">
        <f>Inputs!$B$18+Inputs!$B$19+Inputs!$B$20</f>
        <v>3614</v>
      </c>
      <c r="K20" s="18">
        <f>Inputs!$B$18+Inputs!$B$19+Inputs!$B$20</f>
        <v>3614</v>
      </c>
      <c r="L20" s="18">
        <f>Inputs!$B$18+Inputs!$B$19+Inputs!$B$20</f>
        <v>3614</v>
      </c>
      <c r="M20" s="18">
        <f>Inputs!$B$18+Inputs!$B$19+Inputs!$B$20</f>
        <v>3614</v>
      </c>
      <c r="N20" s="18">
        <f>Inputs!$B$18+Inputs!$B$19+Inputs!$B$20</f>
        <v>3614</v>
      </c>
      <c r="O20" s="18">
        <f>Inputs!$B$18+Inputs!$B$19+Inputs!$B$20</f>
        <v>3614</v>
      </c>
      <c r="P20" s="18">
        <f>Inputs!$B$18+Inputs!$B$19+Inputs!$B$20</f>
        <v>3614</v>
      </c>
      <c r="Q20" s="18">
        <f>Inputs!$B$18+Inputs!$B$19+Inputs!$B$20</f>
        <v>3614</v>
      </c>
    </row>
    <row r="21" spans="1:17" x14ac:dyDescent="0.25">
      <c r="A21" s="5" t="s">
        <v>117</v>
      </c>
      <c r="B21" s="2"/>
      <c r="C21" s="2"/>
      <c r="D21" s="2"/>
      <c r="E21" s="2"/>
      <c r="F21" s="2"/>
      <c r="G21" s="18">
        <f>Inputs!$B$17</f>
        <v>0</v>
      </c>
      <c r="H21" s="18">
        <f>Inputs!$B$17</f>
        <v>0</v>
      </c>
      <c r="I21" s="18">
        <f>Inputs!$B$17</f>
        <v>0</v>
      </c>
      <c r="J21" s="18">
        <f>Inputs!$B$17</f>
        <v>0</v>
      </c>
      <c r="K21" s="18">
        <f>Inputs!$B$17</f>
        <v>0</v>
      </c>
      <c r="L21" s="18">
        <f>Inputs!$B$17</f>
        <v>0</v>
      </c>
      <c r="M21" s="18">
        <f>Inputs!$B$17</f>
        <v>0</v>
      </c>
      <c r="N21" s="18">
        <f>Inputs!$B$17</f>
        <v>0</v>
      </c>
      <c r="O21" s="18">
        <f>Inputs!$B$17</f>
        <v>0</v>
      </c>
      <c r="P21" s="18">
        <f>Inputs!$B$17</f>
        <v>0</v>
      </c>
      <c r="Q21" s="18">
        <f>Inputs!$B$17</f>
        <v>0</v>
      </c>
    </row>
    <row r="22" spans="1:17" x14ac:dyDescent="0.25">
      <c r="A22" s="5" t="s">
        <v>118</v>
      </c>
      <c r="B22" s="2"/>
      <c r="C22" s="2"/>
      <c r="D22" s="2"/>
      <c r="E22" s="2"/>
      <c r="F22" s="2"/>
      <c r="G22" s="18">
        <f>Inputs!$B$21</f>
        <v>1137</v>
      </c>
      <c r="H22" s="18">
        <f>Inputs!$B$21</f>
        <v>1137</v>
      </c>
      <c r="I22" s="18">
        <f>Inputs!$B$21</f>
        <v>1137</v>
      </c>
      <c r="J22" s="18">
        <f>Inputs!$B$21</f>
        <v>1137</v>
      </c>
      <c r="K22" s="18">
        <f>Inputs!$B$21</f>
        <v>1137</v>
      </c>
      <c r="L22" s="18">
        <f>Inputs!$B$21</f>
        <v>1137</v>
      </c>
      <c r="M22" s="18">
        <f>Inputs!$B$21</f>
        <v>1137</v>
      </c>
      <c r="N22" s="18">
        <f>Inputs!$B$21</f>
        <v>1137</v>
      </c>
      <c r="O22" s="18">
        <f>Inputs!$B$21</f>
        <v>1137</v>
      </c>
      <c r="P22" s="18">
        <f>Inputs!$B$21</f>
        <v>1137</v>
      </c>
      <c r="Q22" s="18">
        <f>Inputs!$B$21</f>
        <v>1137</v>
      </c>
    </row>
    <row r="23" spans="1:17" x14ac:dyDescent="0.25">
      <c r="A23" s="5" t="s">
        <v>119</v>
      </c>
      <c r="B23" s="2"/>
      <c r="C23" s="2"/>
      <c r="D23" s="2"/>
      <c r="E23" s="2"/>
      <c r="F23" s="2"/>
      <c r="G23" s="18">
        <f>Inputs!$B$16</f>
        <v>0</v>
      </c>
      <c r="H23" s="18">
        <f>WorkingCapital!H20</f>
        <v>0</v>
      </c>
      <c r="I23" s="18">
        <f>WorkingCapital!I20</f>
        <v>0</v>
      </c>
      <c r="J23" s="18">
        <f>WorkingCapital!J20</f>
        <v>0</v>
      </c>
      <c r="K23" s="18">
        <f>WorkingCapital!K20</f>
        <v>0</v>
      </c>
      <c r="L23" s="18">
        <f>WorkingCapital!L20</f>
        <v>0</v>
      </c>
      <c r="M23" s="18">
        <f>WorkingCapital!M20</f>
        <v>0</v>
      </c>
      <c r="N23" s="18">
        <f>WorkingCapital!N20</f>
        <v>0</v>
      </c>
      <c r="O23" s="18">
        <f>WorkingCapital!O20</f>
        <v>0</v>
      </c>
      <c r="P23" s="18">
        <f>WorkingCapital!P20</f>
        <v>0</v>
      </c>
      <c r="Q23" s="18">
        <f>WorkingCapital!Q20</f>
        <v>0</v>
      </c>
    </row>
    <row r="24" spans="1:17" x14ac:dyDescent="0.25">
      <c r="A24" s="21" t="s">
        <v>120</v>
      </c>
      <c r="B24" s="19">
        <f>IF(ISNUMBER(History!B26),History!B26,"")</f>
        <v>7543</v>
      </c>
      <c r="C24" s="19">
        <f>IF(ISNUMBER(History!C26),History!C26,"")</f>
        <v>7699</v>
      </c>
      <c r="D24" s="19">
        <f>IF(ISNUMBER(History!D26),History!D26,"")</f>
        <v>7089</v>
      </c>
      <c r="E24" s="19">
        <f>IF(ISNUMBER(History!E26),History!E26,"")</f>
        <v>6255</v>
      </c>
      <c r="F24" s="19">
        <f>IF(ISNUMBER(History!F26),History!F26,"")</f>
        <v>6348</v>
      </c>
      <c r="G24" s="19">
        <f>Inputs!$B$24</f>
        <v>6210</v>
      </c>
      <c r="H24" s="20">
        <f t="shared" ref="H24:Q24" si="1">H18+SUM(H20:H23)</f>
        <v>6163.6954808156479</v>
      </c>
      <c r="I24" s="20">
        <f t="shared" si="1"/>
        <v>6135.4415711993342</v>
      </c>
      <c r="J24" s="20">
        <f t="shared" si="1"/>
        <v>6107.7527397753474</v>
      </c>
      <c r="K24" s="20">
        <f t="shared" si="1"/>
        <v>6080.6176849798403</v>
      </c>
      <c r="L24" s="20">
        <f t="shared" si="1"/>
        <v>6054.0253312802433</v>
      </c>
      <c r="M24" s="20">
        <f t="shared" si="1"/>
        <v>6027.9648246546385</v>
      </c>
      <c r="N24" s="20">
        <f t="shared" si="1"/>
        <v>6002.425528161546</v>
      </c>
      <c r="O24" s="20">
        <f t="shared" si="1"/>
        <v>5977.397017598315</v>
      </c>
      <c r="P24" s="20">
        <f t="shared" si="1"/>
        <v>5952.8690772463488</v>
      </c>
      <c r="Q24" s="20">
        <f t="shared" si="1"/>
        <v>5928.8316957014222</v>
      </c>
    </row>
    <row r="25" spans="1:17" x14ac:dyDescent="0.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5" t="s">
        <v>121</v>
      </c>
      <c r="B26" s="2"/>
      <c r="C26" s="2">
        <f>IF(ISNUMBER(B29),B29,"")</f>
        <v>-1517</v>
      </c>
      <c r="D26" s="2">
        <f>IF(ISNUMBER(C29),C29,"")</f>
        <v>-2205</v>
      </c>
      <c r="E26" s="2">
        <f>IF(ISNUMBER(D29),D29,"")</f>
        <v>-1626</v>
      </c>
      <c r="F26" s="2">
        <f>IF(ISNUMBER(E29),E29,"")</f>
        <v>-1383</v>
      </c>
      <c r="G26" s="2"/>
      <c r="H26" s="18">
        <f>Stub!B48</f>
        <v>-508.76284709927501</v>
      </c>
      <c r="I26" s="2">
        <f t="shared" ref="I26:Q26" si="2">H29</f>
        <v>297.44665653949136</v>
      </c>
      <c r="J26" s="2">
        <f t="shared" si="2"/>
        <v>1074.0653208010833</v>
      </c>
      <c r="K26" s="2">
        <f t="shared" si="2"/>
        <v>1822.8959334146725</v>
      </c>
      <c r="L26" s="2">
        <f t="shared" si="2"/>
        <v>2545.5538549871444</v>
      </c>
      <c r="M26" s="2">
        <f t="shared" si="2"/>
        <v>3243.489688966506</v>
      </c>
      <c r="N26" s="2">
        <f t="shared" si="2"/>
        <v>3918.0091330284058</v>
      </c>
      <c r="O26" s="2">
        <f t="shared" si="2"/>
        <v>4570.2903639045053</v>
      </c>
      <c r="P26" s="2">
        <f t="shared" si="2"/>
        <v>5201.3992636751709</v>
      </c>
      <c r="Q26" s="2">
        <f t="shared" si="2"/>
        <v>5812.3027570520781</v>
      </c>
    </row>
    <row r="27" spans="1:17" x14ac:dyDescent="0.25">
      <c r="A27" s="5" t="s">
        <v>122</v>
      </c>
      <c r="B27" s="2"/>
      <c r="C27" s="2"/>
      <c r="D27" s="2"/>
      <c r="E27" s="2"/>
      <c r="F27" s="2"/>
      <c r="G27" s="2"/>
      <c r="H27" s="18">
        <f>Income!H53+CashFlow!H11</f>
        <v>806.20950363876636</v>
      </c>
      <c r="I27" s="18">
        <f>Income!I53+CashFlow!I11</f>
        <v>776.61866426159202</v>
      </c>
      <c r="J27" s="18">
        <f>Income!J53+CashFlow!J11</f>
        <v>748.83061261358932</v>
      </c>
      <c r="K27" s="18">
        <f>Income!K53+CashFlow!K11</f>
        <v>722.65792157247211</v>
      </c>
      <c r="L27" s="18">
        <f>Income!L53+CashFlow!L11</f>
        <v>697.93583397936186</v>
      </c>
      <c r="M27" s="18">
        <f>Income!M53+CashFlow!M11</f>
        <v>674.51944406189978</v>
      </c>
      <c r="N27" s="18">
        <f>Income!N53+CashFlow!N11</f>
        <v>652.28123087609981</v>
      </c>
      <c r="O27" s="18">
        <f>Income!O53+CashFlow!O11</f>
        <v>631.1088997706654</v>
      </c>
      <c r="P27" s="18">
        <f>Income!P53+CashFlow!P11</f>
        <v>610.90349337690714</v>
      </c>
      <c r="Q27" s="18">
        <f>Income!Q53+CashFlow!Q11</f>
        <v>591.57773843939594</v>
      </c>
    </row>
    <row r="28" spans="1:17" x14ac:dyDescent="0.25">
      <c r="A28" s="5" t="s">
        <v>123</v>
      </c>
      <c r="B28" s="2"/>
      <c r="C28" s="2"/>
      <c r="D28" s="2"/>
      <c r="E28" s="2"/>
      <c r="F28" s="2"/>
      <c r="G28" s="2"/>
      <c r="H28" s="18">
        <f>CashFlow!H24</f>
        <v>0</v>
      </c>
      <c r="I28" s="18">
        <f>CashFlow!I24</f>
        <v>0</v>
      </c>
      <c r="J28" s="18">
        <f>CashFlow!J24</f>
        <v>0</v>
      </c>
      <c r="K28" s="18">
        <f>CashFlow!K24</f>
        <v>0</v>
      </c>
      <c r="L28" s="18">
        <f>CashFlow!L24</f>
        <v>0</v>
      </c>
      <c r="M28" s="18">
        <f>CashFlow!M24</f>
        <v>0</v>
      </c>
      <c r="N28" s="18">
        <f>CashFlow!N24</f>
        <v>0</v>
      </c>
      <c r="O28" s="18">
        <f>CashFlow!O24</f>
        <v>0</v>
      </c>
      <c r="P28" s="18">
        <f>CashFlow!P24</f>
        <v>0</v>
      </c>
      <c r="Q28" s="18">
        <f>CashFlow!Q24</f>
        <v>0</v>
      </c>
    </row>
    <row r="29" spans="1:17" x14ac:dyDescent="0.25">
      <c r="A29" s="21" t="s">
        <v>124</v>
      </c>
      <c r="B29" s="19">
        <f>IF(ISNUMBER(History!B51),History!B51,"")</f>
        <v>-1517</v>
      </c>
      <c r="C29" s="19">
        <f>IF(ISNUMBER(History!C51),History!C51,"")</f>
        <v>-2205</v>
      </c>
      <c r="D29" s="19">
        <f>IF(ISNUMBER(History!D51),History!D51,"")</f>
        <v>-1626</v>
      </c>
      <c r="E29" s="19">
        <f>IF(ISNUMBER(History!E51),History!E51,"")</f>
        <v>-1383</v>
      </c>
      <c r="F29" s="19">
        <f>IF(ISNUMBER(History!F51),History!F51,"")</f>
        <v>-1279</v>
      </c>
      <c r="G29" s="19">
        <f>Inputs!$B$22</f>
        <v>-1054</v>
      </c>
      <c r="H29" s="20">
        <f t="shared" ref="H29:Q29" si="3">H26+H27-H28</f>
        <v>297.44665653949136</v>
      </c>
      <c r="I29" s="20">
        <f t="shared" si="3"/>
        <v>1074.0653208010833</v>
      </c>
      <c r="J29" s="20">
        <f t="shared" si="3"/>
        <v>1822.8959334146725</v>
      </c>
      <c r="K29" s="20">
        <f t="shared" si="3"/>
        <v>2545.5538549871444</v>
      </c>
      <c r="L29" s="20">
        <f t="shared" si="3"/>
        <v>3243.489688966506</v>
      </c>
      <c r="M29" s="20">
        <f t="shared" si="3"/>
        <v>3918.0091330284058</v>
      </c>
      <c r="N29" s="20">
        <f t="shared" si="3"/>
        <v>4570.2903639045053</v>
      </c>
      <c r="O29" s="20">
        <f t="shared" si="3"/>
        <v>5201.3992636751709</v>
      </c>
      <c r="P29" s="20">
        <f t="shared" si="3"/>
        <v>5812.3027570520781</v>
      </c>
      <c r="Q29" s="20">
        <f t="shared" si="3"/>
        <v>6403.880495491474</v>
      </c>
    </row>
    <row r="30" spans="1:17" x14ac:dyDescent="0.25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1" t="s">
        <v>125</v>
      </c>
      <c r="B32" s="20">
        <f t="shared" ref="B32:G32" si="4">IF(COUNT(B15,B24,B29)=3,B15-B24-B29,"")</f>
        <v>0</v>
      </c>
      <c r="C32" s="20">
        <f t="shared" si="4"/>
        <v>0</v>
      </c>
      <c r="D32" s="20">
        <f t="shared" si="4"/>
        <v>0</v>
      </c>
      <c r="E32" s="20">
        <f t="shared" si="4"/>
        <v>0</v>
      </c>
      <c r="F32" s="20">
        <f t="shared" si="4"/>
        <v>0</v>
      </c>
      <c r="G32" s="20">
        <f t="shared" si="4"/>
        <v>0</v>
      </c>
      <c r="H32" s="20">
        <f t="shared" ref="H32:Q32" si="5">H15-H24-H29</f>
        <v>-8.5265128291212022E-13</v>
      </c>
      <c r="I32" s="20">
        <f t="shared" si="5"/>
        <v>0</v>
      </c>
      <c r="J32" s="20">
        <f t="shared" si="5"/>
        <v>0</v>
      </c>
      <c r="K32" s="20">
        <f t="shared" si="5"/>
        <v>0</v>
      </c>
      <c r="L32" s="20">
        <f t="shared" si="5"/>
        <v>0</v>
      </c>
      <c r="M32" s="20">
        <f t="shared" si="5"/>
        <v>0</v>
      </c>
      <c r="N32" s="20">
        <f t="shared" si="5"/>
        <v>0</v>
      </c>
      <c r="O32" s="20">
        <f t="shared" si="5"/>
        <v>0</v>
      </c>
      <c r="P32" s="20">
        <f t="shared" si="5"/>
        <v>0</v>
      </c>
      <c r="Q32" s="20">
        <f t="shared" si="5"/>
        <v>0</v>
      </c>
    </row>
    <row r="33" spans="1:17" x14ac:dyDescent="0.25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5" t="s">
        <v>126</v>
      </c>
      <c r="B36" s="18">
        <f>IF(ISNUMBER(History!B18),History!B18,"")</f>
        <v>240</v>
      </c>
      <c r="C36" s="18">
        <f>IF(ISNUMBER(History!C18),History!C18,"")</f>
        <v>226</v>
      </c>
      <c r="D36" s="18">
        <f>IF(ISNUMBER(History!D18),History!D18,"")</f>
        <v>224</v>
      </c>
      <c r="E36" s="18">
        <f>IF(ISNUMBER(History!E18),History!E18,"")</f>
        <v>205</v>
      </c>
      <c r="F36" s="18">
        <f>IF(ISNUMBER(History!F18),History!F18,"")</f>
        <v>180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5" t="s">
        <v>127</v>
      </c>
      <c r="B37" s="18">
        <f>IF(ISNUMBER(History!B19),History!B19,"")</f>
        <v>709</v>
      </c>
      <c r="C37" s="18">
        <f>IF(ISNUMBER(History!C19),History!C19,"")</f>
        <v>709</v>
      </c>
      <c r="D37" s="18">
        <f>IF(ISNUMBER(History!D19),History!D19,"")</f>
        <v>710</v>
      </c>
      <c r="E37" s="18">
        <f>IF(ISNUMBER(History!E19),History!E19,"")</f>
        <v>734</v>
      </c>
      <c r="F37" s="18">
        <f>IF(ISNUMBER(History!F19),History!F19,"")</f>
        <v>699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5" t="s">
        <v>128</v>
      </c>
      <c r="B38" s="18">
        <f>IF(ISNUMBER(History!B20),History!B20,"")</f>
        <v>435</v>
      </c>
      <c r="C38" s="18">
        <f>IF(ISNUMBER(History!C20),History!C20,"")</f>
        <v>455</v>
      </c>
      <c r="D38" s="18">
        <f>IF(ISNUMBER(History!D20),History!D20,"")</f>
        <v>380</v>
      </c>
      <c r="E38" s="18">
        <f>IF(ISNUMBER(History!E20),History!E20,"")</f>
        <v>338</v>
      </c>
      <c r="F38" s="18">
        <f>IF(ISNUMBER(History!F20),History!F20,"")</f>
        <v>465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</sheetData>
  <mergeCells count="2">
    <mergeCell ref="A2:Q2"/>
    <mergeCell ref="A1:Q1"/>
  </mergeCells>
  <pageMargins left="0.7" right="0.7" top="0.75" bottom="0.75" header="0.3" footer="0.3"/>
  <pageSetup paperSize="9" scale="3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5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Q1"/>
    </sheetView>
  </sheetViews>
  <sheetFormatPr defaultColWidth="8.42578125" defaultRowHeight="15" x14ac:dyDescent="0.25"/>
  <cols>
    <col min="1" max="1" width="59.7109375" style="4" customWidth="1"/>
    <col min="2" max="17" width="17.7109375" customWidth="1"/>
  </cols>
  <sheetData>
    <row r="1" spans="1:17" ht="30" customHeight="1" x14ac:dyDescent="0.25">
      <c r="A1" s="42" t="s">
        <v>129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2.1" customHeight="1" x14ac:dyDescent="0.25">
      <c r="A2" s="41" t="s">
        <v>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s="4" customFormat="1" ht="42" customHeight="1" x14ac:dyDescent="0.25">
      <c r="A3" s="3" t="s">
        <v>55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61</v>
      </c>
      <c r="H3" s="17" t="s">
        <v>62</v>
      </c>
      <c r="I3" s="17" t="s">
        <v>63</v>
      </c>
      <c r="J3" s="17" t="s">
        <v>64</v>
      </c>
      <c r="K3" s="17" t="s">
        <v>65</v>
      </c>
      <c r="L3" s="17" t="s">
        <v>66</v>
      </c>
      <c r="M3" s="17" t="s">
        <v>67</v>
      </c>
      <c r="N3" s="17" t="s">
        <v>68</v>
      </c>
      <c r="O3" s="17" t="s">
        <v>69</v>
      </c>
      <c r="P3" s="17" t="s">
        <v>70</v>
      </c>
      <c r="Q3" s="17" t="s">
        <v>71</v>
      </c>
    </row>
    <row r="4" spans="1:17" x14ac:dyDescent="0.2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5" t="s">
        <v>100</v>
      </c>
      <c r="B8" s="18">
        <f>IF(ISNUMBER(History!B13),History!B13,"")</f>
        <v>1333</v>
      </c>
      <c r="C8" s="18">
        <f>IF(ISNUMBER(History!C13),History!C13,"")</f>
        <v>800</v>
      </c>
      <c r="D8" s="18">
        <f>IF(ISNUMBER(History!D13),History!D13,"")</f>
        <v>878</v>
      </c>
      <c r="E8" s="18">
        <f>IF(ISNUMBER(History!E13),History!E13,"")</f>
        <v>798</v>
      </c>
      <c r="F8" s="18">
        <f>IF(ISNUMBER(History!F13),History!F13,"")</f>
        <v>649</v>
      </c>
      <c r="G8" s="18">
        <f>IF(ISNUMBER(History!G13),History!G13,"")</f>
        <v>781</v>
      </c>
      <c r="H8" s="18">
        <f>Income!H53</f>
        <v>783.93945836202897</v>
      </c>
      <c r="I8" s="18">
        <f>Income!I53</f>
        <v>754.79401989038934</v>
      </c>
      <c r="J8" s="18">
        <f>Income!J53</f>
        <v>727.44246112981068</v>
      </c>
      <c r="K8" s="18">
        <f>Income!K53</f>
        <v>701.69753311836905</v>
      </c>
      <c r="L8" s="18">
        <f>Income!L53</f>
        <v>677.39465329434086</v>
      </c>
      <c r="M8" s="18">
        <f>Income!M53</f>
        <v>654.38908699057924</v>
      </c>
      <c r="N8" s="18">
        <f>Income!N53</f>
        <v>632.5534809462057</v>
      </c>
      <c r="O8" s="18">
        <f>Income!O53</f>
        <v>611.77570483936915</v>
      </c>
      <c r="P8" s="18">
        <f>Income!P53</f>
        <v>591.95696234423679</v>
      </c>
      <c r="Q8" s="18">
        <f>Income!Q53</f>
        <v>573.01013802737896</v>
      </c>
    </row>
    <row r="9" spans="1:17" x14ac:dyDescent="0.25">
      <c r="A9" s="5" t="s">
        <v>130</v>
      </c>
      <c r="B9" s="18">
        <f>IF(ISNUMBER(History!B33),History!B33,"")</f>
        <v>363</v>
      </c>
      <c r="C9" s="18">
        <f>IF(ISNUMBER(History!C33),History!C33,"")</f>
        <v>221</v>
      </c>
      <c r="D9" s="18">
        <f>IF(ISNUMBER(History!D33),History!D33,"")</f>
        <v>269</v>
      </c>
      <c r="E9" s="18">
        <f>IF(ISNUMBER(History!E33),History!E33,"")</f>
        <v>282</v>
      </c>
      <c r="F9" s="18">
        <f>IF(ISNUMBER(History!F33),History!F33,"")</f>
        <v>254</v>
      </c>
      <c r="G9" s="18">
        <f>IF(ISNUMBER(History!G33),History!G33,"")</f>
        <v>246</v>
      </c>
      <c r="H9" s="18">
        <f>Assets!H13+Assets!H21</f>
        <v>161.45204347950477</v>
      </c>
      <c r="I9" s="18">
        <f>Assets!I13+Assets!I21</f>
        <v>170.26758938913599</v>
      </c>
      <c r="J9" s="18">
        <f>Assets!J13+Assets!J21</f>
        <v>177.40125103317189</v>
      </c>
      <c r="K9" s="18">
        <f>Assets!K13+Assets!K21</f>
        <v>183.07486276534971</v>
      </c>
      <c r="L9" s="18">
        <f>Assets!L13+Assets!L21</f>
        <v>187.48229766877887</v>
      </c>
      <c r="M9" s="18">
        <f>Assets!M13+Assets!M21</f>
        <v>190.79296735429739</v>
      </c>
      <c r="N9" s="18">
        <f>Assets!N13+Assets!N21</f>
        <v>193.15488419124381</v>
      </c>
      <c r="O9" s="18">
        <f>Assets!O13+Assets!O21</f>
        <v>194.69734066844723</v>
      </c>
      <c r="P9" s="18">
        <f>Assets!P13+Assets!P21</f>
        <v>195.53325374597807</v>
      </c>
      <c r="Q9" s="18">
        <f>Assets!Q13+Assets!Q21</f>
        <v>195.7612160755958</v>
      </c>
    </row>
    <row r="10" spans="1:17" x14ac:dyDescent="0.25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5" t="s">
        <v>131</v>
      </c>
      <c r="B11" s="18">
        <f>IF(ISNUMBER(History!B34),History!B34,"")</f>
        <v>46</v>
      </c>
      <c r="C11" s="18">
        <f>IF(ISNUMBER(History!C34),History!C34,"")</f>
        <v>38</v>
      </c>
      <c r="D11" s="18">
        <f>IF(ISNUMBER(History!D34),History!D34,"")</f>
        <v>43</v>
      </c>
      <c r="E11" s="18">
        <f>IF(ISNUMBER(History!E34),History!E34,"")</f>
        <v>40</v>
      </c>
      <c r="F11" s="18">
        <f>IF(ISNUMBER(History!F34),History!F34,"")</f>
        <v>31</v>
      </c>
      <c r="G11" s="18">
        <f>IF(ISNUMBER(History!G34),History!G34,"")</f>
        <v>23</v>
      </c>
      <c r="H11" s="18">
        <f>Income!H8*H12</f>
        <v>22.27004527673741</v>
      </c>
      <c r="I11" s="18">
        <f>Income!I8*I12</f>
        <v>21.824644371202663</v>
      </c>
      <c r="J11" s="18">
        <f>Income!J8*J12</f>
        <v>21.388151483778607</v>
      </c>
      <c r="K11" s="18">
        <f>Income!K8*K12</f>
        <v>20.960388454103036</v>
      </c>
      <c r="L11" s="18">
        <f>Income!L8*L12</f>
        <v>20.541180685020976</v>
      </c>
      <c r="M11" s="18">
        <f>Income!M8*M12</f>
        <v>20.130357071320557</v>
      </c>
      <c r="N11" s="18">
        <f>Income!N8*N12</f>
        <v>19.727749929894145</v>
      </c>
      <c r="O11" s="18">
        <f>Income!O8*O12</f>
        <v>19.333194931296262</v>
      </c>
      <c r="P11" s="18">
        <f>Income!P8*P12</f>
        <v>18.946531032670336</v>
      </c>
      <c r="Q11" s="18">
        <f>Income!Q8*Q12</f>
        <v>18.56760041201693</v>
      </c>
    </row>
    <row r="12" spans="1:17" x14ac:dyDescent="0.25">
      <c r="A12" s="5" t="s">
        <v>132</v>
      </c>
      <c r="B12" s="25"/>
      <c r="C12" s="25"/>
      <c r="D12" s="25"/>
      <c r="E12" s="25"/>
      <c r="F12" s="25"/>
      <c r="G12" s="25"/>
      <c r="H12" s="26">
        <f>Inputs!$B$32/Inputs!$B$27</f>
        <v>3.190456373976973E-3</v>
      </c>
      <c r="I12" s="26">
        <f>Inputs!$B$32/Inputs!$B$27</f>
        <v>3.190456373976973E-3</v>
      </c>
      <c r="J12" s="26">
        <f>Inputs!$B$32/Inputs!$B$27</f>
        <v>3.190456373976973E-3</v>
      </c>
      <c r="K12" s="26">
        <f>Inputs!$B$32/Inputs!$B$27</f>
        <v>3.190456373976973E-3</v>
      </c>
      <c r="L12" s="26">
        <f>Inputs!$B$32/Inputs!$B$27</f>
        <v>3.190456373976973E-3</v>
      </c>
      <c r="M12" s="26">
        <f>Inputs!$B$32/Inputs!$B$27</f>
        <v>3.190456373976973E-3</v>
      </c>
      <c r="N12" s="26">
        <f>Inputs!$B$32/Inputs!$B$27</f>
        <v>3.190456373976973E-3</v>
      </c>
      <c r="O12" s="26">
        <f>Inputs!$B$32/Inputs!$B$27</f>
        <v>3.190456373976973E-3</v>
      </c>
      <c r="P12" s="26">
        <f>Inputs!$B$32/Inputs!$B$27</f>
        <v>3.190456373976973E-3</v>
      </c>
      <c r="Q12" s="26">
        <f>Inputs!$B$32/Inputs!$B$27</f>
        <v>3.190456373976973E-3</v>
      </c>
    </row>
    <row r="13" spans="1:17" x14ac:dyDescent="0.25">
      <c r="A13" s="5" t="s">
        <v>133</v>
      </c>
      <c r="B13" s="2"/>
      <c r="C13" s="2"/>
      <c r="D13" s="2"/>
      <c r="E13" s="2"/>
      <c r="F13" s="2"/>
      <c r="G13" s="2"/>
      <c r="H13" s="18">
        <f>WorkingCapital!H25</f>
        <v>41.707030045776037</v>
      </c>
      <c r="I13" s="18">
        <f>WorkingCapital!I25</f>
        <v>3.9311471227633774</v>
      </c>
      <c r="J13" s="18">
        <f>WorkingCapital!J25</f>
        <v>3.8525241803081371</v>
      </c>
      <c r="K13" s="18">
        <f>WorkingCapital!K25</f>
        <v>3.7754736967017379</v>
      </c>
      <c r="L13" s="18">
        <f>WorkingCapital!L25</f>
        <v>3.6999642227676759</v>
      </c>
      <c r="M13" s="18">
        <f>WorkingCapital!M25</f>
        <v>3.6259649383125634</v>
      </c>
      <c r="N13" s="18">
        <f>WorkingCapital!N25</f>
        <v>3.553445639545771</v>
      </c>
      <c r="O13" s="18">
        <f>WorkingCapital!O25</f>
        <v>3.4823767267555468</v>
      </c>
      <c r="P13" s="18">
        <f>WorkingCapital!P25</f>
        <v>3.4127291922200129</v>
      </c>
      <c r="Q13" s="18">
        <f>WorkingCapital!Q25</f>
        <v>3.344474608375549</v>
      </c>
    </row>
    <row r="14" spans="1:17" x14ac:dyDescent="0.25">
      <c r="A14" s="21" t="s">
        <v>134</v>
      </c>
      <c r="B14" s="19">
        <f>IF(ISNUMBER(History!B36),History!B36,"")</f>
        <v>1492</v>
      </c>
      <c r="C14" s="19">
        <f>IF(ISNUMBER(History!C36),History!C36,"")</f>
        <v>1144</v>
      </c>
      <c r="D14" s="19">
        <f>IF(ISNUMBER(History!D36),History!D36,"")</f>
        <v>954</v>
      </c>
      <c r="E14" s="19">
        <f>IF(ISNUMBER(History!E36),History!E36,"")</f>
        <v>886</v>
      </c>
      <c r="F14" s="19">
        <f>IF(ISNUMBER(History!F36),History!F36,"")</f>
        <v>1102</v>
      </c>
      <c r="G14" s="19">
        <f>IF(ISNUMBER(History!G36),History!G36,"")</f>
        <v>1273</v>
      </c>
      <c r="H14" s="19">
        <f>Income!H53+Assets!H13+Assets!H21+H11-WorkingCapital!H25</f>
        <v>925.95451707249504</v>
      </c>
      <c r="I14" s="19">
        <f>Income!I53+Assets!I13+Assets!I21+I11-WorkingCapital!I25</f>
        <v>942.95510652796463</v>
      </c>
      <c r="J14" s="19">
        <f>Income!J53+Assets!J13+Assets!J21+J11-WorkingCapital!J25</f>
        <v>922.37933946645308</v>
      </c>
      <c r="K14" s="19">
        <f>Income!K53+Assets!K13+Assets!K21+K11-WorkingCapital!K25</f>
        <v>901.9573106411201</v>
      </c>
      <c r="L14" s="19">
        <f>Income!L53+Assets!L13+Assets!L21+L11-WorkingCapital!L25</f>
        <v>881.71816742537305</v>
      </c>
      <c r="M14" s="19">
        <f>Income!M53+Assets!M13+Assets!M21+M11-WorkingCapital!M25</f>
        <v>861.6864464778846</v>
      </c>
      <c r="N14" s="19">
        <f>Income!N53+Assets!N13+Assets!N21+N11-WorkingCapital!N25</f>
        <v>841.88266942779785</v>
      </c>
      <c r="O14" s="19">
        <f>Income!O53+Assets!O13+Assets!O21+O11-WorkingCapital!O25</f>
        <v>822.32386371235702</v>
      </c>
      <c r="P14" s="19">
        <f>Income!P53+Assets!P13+Assets!P21+P11-WorkingCapital!P25</f>
        <v>803.0240179306652</v>
      </c>
      <c r="Q14" s="19">
        <f>Income!Q53+Assets!Q13+Assets!Q21+Q11-WorkingCapital!Q25</f>
        <v>783.99447990661611</v>
      </c>
    </row>
    <row r="15" spans="1:17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5" t="s">
        <v>135</v>
      </c>
      <c r="B17" s="18">
        <f>IF(ISNUMBER(Assets!B11),Assets!B11,"")</f>
        <v>270</v>
      </c>
      <c r="C17" s="18">
        <f>IF(ISNUMBER(Assets!C11),Assets!C11,"")</f>
        <v>328</v>
      </c>
      <c r="D17" s="18">
        <f>IF(ISNUMBER(Assets!D11),Assets!D11,"")</f>
        <v>298</v>
      </c>
      <c r="E17" s="18">
        <f>IF(ISNUMBER(Assets!E11),Assets!E11,"")</f>
        <v>226</v>
      </c>
      <c r="F17" s="18">
        <f>IF(ISNUMBER(Assets!F11),Assets!F11,"")</f>
        <v>237</v>
      </c>
      <c r="G17" s="18">
        <f>IF(ISNUMBER(Assets!G11),Assets!G11,"")</f>
        <v>242</v>
      </c>
      <c r="H17" s="18">
        <f>Assets!H11</f>
        <v>234.31960682480235</v>
      </c>
      <c r="I17" s="18">
        <f>Assets!I11</f>
        <v>229.63321468830631</v>
      </c>
      <c r="J17" s="18">
        <f>Assets!J11</f>
        <v>225.04055039454016</v>
      </c>
      <c r="K17" s="18">
        <f>Assets!K11</f>
        <v>220.53973938664936</v>
      </c>
      <c r="L17" s="18">
        <f>Assets!L11</f>
        <v>216.12894459891641</v>
      </c>
      <c r="M17" s="18">
        <f>Assets!M11</f>
        <v>211.80636570693807</v>
      </c>
      <c r="N17" s="18">
        <f>Assets!N11</f>
        <v>207.5702383927993</v>
      </c>
      <c r="O17" s="18">
        <f>Assets!O11</f>
        <v>203.41883362494332</v>
      </c>
      <c r="P17" s="18">
        <f>Assets!P11</f>
        <v>199.35045695244443</v>
      </c>
      <c r="Q17" s="18">
        <f>Assets!Q11</f>
        <v>195.36344781339554</v>
      </c>
    </row>
    <row r="18" spans="1:17" x14ac:dyDescent="0.25">
      <c r="A18" s="5" t="s">
        <v>136</v>
      </c>
      <c r="B18" s="2"/>
      <c r="C18" s="2"/>
      <c r="D18" s="2"/>
      <c r="E18" s="2"/>
      <c r="F18" s="2"/>
      <c r="G18" s="2"/>
      <c r="H18" s="18">
        <f>Assets!H19</f>
        <v>0</v>
      </c>
      <c r="I18" s="18">
        <f>Assets!I19</f>
        <v>0</v>
      </c>
      <c r="J18" s="18">
        <f>Assets!J19</f>
        <v>0</v>
      </c>
      <c r="K18" s="18">
        <f>Assets!K19</f>
        <v>0</v>
      </c>
      <c r="L18" s="18">
        <f>Assets!L19</f>
        <v>0</v>
      </c>
      <c r="M18" s="18">
        <f>Assets!M19</f>
        <v>0</v>
      </c>
      <c r="N18" s="18">
        <f>Assets!N19</f>
        <v>0</v>
      </c>
      <c r="O18" s="18">
        <f>Assets!O19</f>
        <v>0</v>
      </c>
      <c r="P18" s="18">
        <f>Assets!P19</f>
        <v>0</v>
      </c>
      <c r="Q18" s="18">
        <f>Assets!Q19</f>
        <v>0</v>
      </c>
    </row>
    <row r="19" spans="1:17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1" t="s">
        <v>137</v>
      </c>
      <c r="B20" s="19">
        <f>IF(ISNUMBER(History!B37),History!B37,"")</f>
        <v>-259</v>
      </c>
      <c r="C20" s="19">
        <f>IF(ISNUMBER(History!C37),History!C37,"")</f>
        <v>-328</v>
      </c>
      <c r="D20" s="19">
        <f>IF(ISNUMBER(History!D37),History!D37,"")</f>
        <v>-286</v>
      </c>
      <c r="E20" s="19">
        <f>IF(ISNUMBER(History!E37),History!E37,"")</f>
        <v>-162</v>
      </c>
      <c r="F20" s="19">
        <f>IF(ISNUMBER(History!F37),History!F37,"")</f>
        <v>-227</v>
      </c>
      <c r="G20" s="19">
        <f>IF(ISNUMBER(History!G37),History!G37,"")</f>
        <v>-221</v>
      </c>
      <c r="H20" s="19">
        <f>-Assets!H11-Assets!H19</f>
        <v>-234.31960682480235</v>
      </c>
      <c r="I20" s="19">
        <f>-Assets!I11-Assets!I19</f>
        <v>-229.63321468830631</v>
      </c>
      <c r="J20" s="19">
        <f>-Assets!J11-Assets!J19</f>
        <v>-225.04055039454016</v>
      </c>
      <c r="K20" s="19">
        <f>-Assets!K11-Assets!K19</f>
        <v>-220.53973938664936</v>
      </c>
      <c r="L20" s="19">
        <f>-Assets!L11-Assets!L19</f>
        <v>-216.12894459891641</v>
      </c>
      <c r="M20" s="19">
        <f>-Assets!M11-Assets!M19</f>
        <v>-211.80636570693807</v>
      </c>
      <c r="N20" s="19">
        <f>-Assets!N11-Assets!N19</f>
        <v>-207.5702383927993</v>
      </c>
      <c r="O20" s="19">
        <f>-Assets!O11-Assets!O19</f>
        <v>-203.41883362494332</v>
      </c>
      <c r="P20" s="19">
        <f>-Assets!P11-Assets!P19</f>
        <v>-199.35045695244443</v>
      </c>
      <c r="Q20" s="19">
        <f>-Assets!Q11-Assets!Q19</f>
        <v>-195.36344781339554</v>
      </c>
    </row>
    <row r="21" spans="1:17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5" t="s">
        <v>138</v>
      </c>
      <c r="B23" s="25"/>
      <c r="C23" s="25"/>
      <c r="D23" s="25"/>
      <c r="E23" s="25"/>
      <c r="F23" s="25"/>
      <c r="G23" s="25"/>
      <c r="H23" s="26">
        <f>Inputs!$B$59</f>
        <v>0</v>
      </c>
      <c r="I23" s="26">
        <f>Inputs!$B$59</f>
        <v>0</v>
      </c>
      <c r="J23" s="26">
        <f>Inputs!$B$59</f>
        <v>0</v>
      </c>
      <c r="K23" s="26">
        <f>Inputs!$B$59</f>
        <v>0</v>
      </c>
      <c r="L23" s="26">
        <f>Inputs!$B$59</f>
        <v>0</v>
      </c>
      <c r="M23" s="26">
        <f>Inputs!$B$59</f>
        <v>0</v>
      </c>
      <c r="N23" s="26">
        <f>Inputs!$B$59</f>
        <v>0</v>
      </c>
      <c r="O23" s="26">
        <f>Inputs!$B$59</f>
        <v>0</v>
      </c>
      <c r="P23" s="26">
        <f>Inputs!$B$59</f>
        <v>0</v>
      </c>
      <c r="Q23" s="26">
        <f>Inputs!$B$59</f>
        <v>0</v>
      </c>
    </row>
    <row r="24" spans="1:17" x14ac:dyDescent="0.25">
      <c r="A24" s="5" t="s">
        <v>139</v>
      </c>
      <c r="B24" s="2"/>
      <c r="C24" s="2"/>
      <c r="D24" s="2"/>
      <c r="E24" s="2"/>
      <c r="F24" s="2"/>
      <c r="G24" s="2"/>
      <c r="H24" s="18">
        <f>MAX(0,Income!H53)*H23</f>
        <v>0</v>
      </c>
      <c r="I24" s="18">
        <f>MAX(0,Income!I53)*I23</f>
        <v>0</v>
      </c>
      <c r="J24" s="18">
        <f>MAX(0,Income!J53)*J23</f>
        <v>0</v>
      </c>
      <c r="K24" s="18">
        <f>MAX(0,Income!K53)*K23</f>
        <v>0</v>
      </c>
      <c r="L24" s="18">
        <f>MAX(0,Income!L53)*L23</f>
        <v>0</v>
      </c>
      <c r="M24" s="18">
        <f>MAX(0,Income!M53)*M23</f>
        <v>0</v>
      </c>
      <c r="N24" s="18">
        <f>MAX(0,Income!N53)*N23</f>
        <v>0</v>
      </c>
      <c r="O24" s="18">
        <f>MAX(0,Income!O53)*O23</f>
        <v>0</v>
      </c>
      <c r="P24" s="18">
        <f>MAX(0,Income!P53)*P23</f>
        <v>0</v>
      </c>
      <c r="Q24" s="18">
        <f>MAX(0,Income!Q53)*Q23</f>
        <v>0</v>
      </c>
    </row>
    <row r="25" spans="1:17" x14ac:dyDescent="0.25">
      <c r="A25" s="21" t="s">
        <v>140</v>
      </c>
      <c r="B25" s="19">
        <f>IF(ISNUMBER(History!B38),History!B38,"")</f>
        <v>-3188</v>
      </c>
      <c r="C25" s="19">
        <f>IF(ISNUMBER(History!C38),History!C38,"")</f>
        <v>-1562</v>
      </c>
      <c r="D25" s="19">
        <f>IF(ISNUMBER(History!D38),History!D38,"")</f>
        <v>-815</v>
      </c>
      <c r="E25" s="19">
        <f>IF(ISNUMBER(History!E38),History!E38,"")</f>
        <v>-1132</v>
      </c>
      <c r="F25" s="19">
        <f>IF(ISNUMBER(History!F38),History!F38,"")</f>
        <v>-599</v>
      </c>
      <c r="G25" s="19">
        <f>IF(ISNUMBER(History!G38),History!G38,"")</f>
        <v>-621</v>
      </c>
      <c r="H25" s="20">
        <f t="shared" ref="H25:Q25" si="0">-H24</f>
        <v>0</v>
      </c>
      <c r="I25" s="20">
        <f t="shared" si="0"/>
        <v>0</v>
      </c>
      <c r="J25" s="20">
        <f t="shared" si="0"/>
        <v>0</v>
      </c>
      <c r="K25" s="20">
        <f t="shared" si="0"/>
        <v>0</v>
      </c>
      <c r="L25" s="20">
        <f t="shared" si="0"/>
        <v>0</v>
      </c>
      <c r="M25" s="20">
        <f t="shared" si="0"/>
        <v>0</v>
      </c>
      <c r="N25" s="20">
        <f t="shared" si="0"/>
        <v>0</v>
      </c>
      <c r="O25" s="20">
        <f t="shared" si="0"/>
        <v>0</v>
      </c>
      <c r="P25" s="20">
        <f t="shared" si="0"/>
        <v>0</v>
      </c>
      <c r="Q25" s="20">
        <f t="shared" si="0"/>
        <v>0</v>
      </c>
    </row>
    <row r="26" spans="1:17" x14ac:dyDescent="0.25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5" t="s">
        <v>141</v>
      </c>
      <c r="B28" s="2"/>
      <c r="C28" s="2">
        <f>IF(ISNUMBER(B30),B30,"")</f>
        <v>1979</v>
      </c>
      <c r="D28" s="2">
        <f>IF(ISNUMBER(C30),C30,"")</f>
        <v>1232</v>
      </c>
      <c r="E28" s="2">
        <f>IF(ISNUMBER(D30),D30,"")</f>
        <v>1084</v>
      </c>
      <c r="F28" s="2">
        <f>IF(ISNUMBER(E30),E30,"")</f>
        <v>674</v>
      </c>
      <c r="G28" s="2"/>
      <c r="H28" s="18">
        <f>Stub!B46</f>
        <v>1306.0449946610247</v>
      </c>
      <c r="I28" s="2">
        <f t="shared" ref="I28:Q28" si="1">H30</f>
        <v>1997.6799049087174</v>
      </c>
      <c r="J28" s="2">
        <f t="shared" si="1"/>
        <v>2711.0017967483755</v>
      </c>
      <c r="K28" s="2">
        <f t="shared" si="1"/>
        <v>3408.3405858202882</v>
      </c>
      <c r="L28" s="2">
        <f t="shared" si="1"/>
        <v>4089.7581570747593</v>
      </c>
      <c r="M28" s="2">
        <f t="shared" si="1"/>
        <v>4755.3473799012154</v>
      </c>
      <c r="N28" s="2">
        <f t="shared" si="1"/>
        <v>5405.2274606721621</v>
      </c>
      <c r="O28" s="2">
        <f t="shared" si="1"/>
        <v>6039.5398917071607</v>
      </c>
      <c r="P28" s="2">
        <f t="shared" si="1"/>
        <v>6658.4449217945739</v>
      </c>
      <c r="Q28" s="2">
        <f t="shared" si="1"/>
        <v>7262.1184827727939</v>
      </c>
    </row>
    <row r="29" spans="1:17" x14ac:dyDescent="0.25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1" t="s">
        <v>142</v>
      </c>
      <c r="B30" s="19">
        <f>IF(ISNUMBER(History!B17),History!B17,"")</f>
        <v>1979</v>
      </c>
      <c r="C30" s="19">
        <f>IF(ISNUMBER(History!C17),History!C17,"")</f>
        <v>1232</v>
      </c>
      <c r="D30" s="19">
        <f>IF(ISNUMBER(History!D17),History!D17,"")</f>
        <v>1084</v>
      </c>
      <c r="E30" s="19">
        <f>IF(ISNUMBER(History!E17),History!E17,"")</f>
        <v>674</v>
      </c>
      <c r="F30" s="19">
        <f>IF(ISNUMBER(History!F17),History!F17,"")</f>
        <v>953</v>
      </c>
      <c r="G30" s="19">
        <f>Inputs!$B$4</f>
        <v>794</v>
      </c>
      <c r="H30" s="20">
        <f t="shared" ref="H30:Q30" si="2">H28+H14+H20+H25</f>
        <v>1997.6799049087174</v>
      </c>
      <c r="I30" s="20">
        <f t="shared" si="2"/>
        <v>2711.0017967483755</v>
      </c>
      <c r="J30" s="20">
        <f t="shared" si="2"/>
        <v>3408.3405858202882</v>
      </c>
      <c r="K30" s="20">
        <f t="shared" si="2"/>
        <v>4089.7581570747593</v>
      </c>
      <c r="L30" s="20">
        <f t="shared" si="2"/>
        <v>4755.3473799012154</v>
      </c>
      <c r="M30" s="20">
        <f t="shared" si="2"/>
        <v>5405.2274606721621</v>
      </c>
      <c r="N30" s="20">
        <f t="shared" si="2"/>
        <v>6039.5398917071607</v>
      </c>
      <c r="O30" s="20">
        <f t="shared" si="2"/>
        <v>6658.4449217945739</v>
      </c>
      <c r="P30" s="20">
        <f t="shared" si="2"/>
        <v>7262.1184827727939</v>
      </c>
      <c r="Q30" s="20">
        <f t="shared" si="2"/>
        <v>7850.7495148660146</v>
      </c>
    </row>
    <row r="31" spans="1:17" x14ac:dyDescent="0.2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1" t="s">
        <v>143</v>
      </c>
      <c r="B33" s="19">
        <f>IF(ISNUMBER(History!B52),History!B52,"")</f>
        <v>1233</v>
      </c>
      <c r="C33" s="19">
        <f>IF(ISNUMBER(History!C52),History!C52,"")</f>
        <v>816</v>
      </c>
      <c r="D33" s="19">
        <f>IF(ISNUMBER(History!D52),History!D52,"")</f>
        <v>668</v>
      </c>
      <c r="E33" s="19">
        <f>IF(ISNUMBER(History!E52),History!E52,"")</f>
        <v>724</v>
      </c>
      <c r="F33" s="19">
        <f>IF(ISNUMBER(History!F52),History!F52,"")</f>
        <v>875</v>
      </c>
      <c r="G33" s="19">
        <f>IF(ISNUMBER(History!G52),History!G52,"")</f>
        <v>1052</v>
      </c>
      <c r="H33" s="20">
        <f t="shared" ref="H33:Q33" si="3">H14+H20</f>
        <v>691.63491024769269</v>
      </c>
      <c r="I33" s="20">
        <f t="shared" si="3"/>
        <v>713.32189183965829</v>
      </c>
      <c r="J33" s="20">
        <f t="shared" si="3"/>
        <v>697.33878907191297</v>
      </c>
      <c r="K33" s="20">
        <f t="shared" si="3"/>
        <v>681.41757125447077</v>
      </c>
      <c r="L33" s="20">
        <f t="shared" si="3"/>
        <v>665.58922282645665</v>
      </c>
      <c r="M33" s="20">
        <f t="shared" si="3"/>
        <v>649.88008077094651</v>
      </c>
      <c r="N33" s="20">
        <f t="shared" si="3"/>
        <v>634.31243103499855</v>
      </c>
      <c r="O33" s="20">
        <f t="shared" si="3"/>
        <v>618.90503008741371</v>
      </c>
      <c r="P33" s="20">
        <f t="shared" si="3"/>
        <v>603.67356097822073</v>
      </c>
      <c r="Q33" s="20">
        <f t="shared" si="3"/>
        <v>588.6310320932206</v>
      </c>
    </row>
    <row r="34" spans="1:17" x14ac:dyDescent="0.25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1" t="s">
        <v>144</v>
      </c>
      <c r="B35" s="20"/>
      <c r="C35" s="20"/>
      <c r="D35" s="20"/>
      <c r="E35" s="20"/>
      <c r="F35" s="20"/>
      <c r="G35" s="20"/>
      <c r="H35" s="19">
        <f>Income!H40-MAX(0,Income!H40)*Inputs!$B$52+Assets!H13+Assets!H21-Assets!H11-Assets!H19-WorkingCapital!H25</f>
        <v>858.30895353944129</v>
      </c>
      <c r="I35" s="19">
        <f>Income!I40-MAX(0,Income!I40)*Inputs!$B$52+Assets!I13+Assets!I21-Assets!I11-Assets!I19-WorkingCapital!I25</f>
        <v>880.44133603694183</v>
      </c>
      <c r="J35" s="19">
        <f>Income!J40-MAX(0,Income!J40)*Inputs!$B$52+Assets!J13+Assets!J21-Assets!J11-Assets!J19-WorkingCapital!J25</f>
        <v>864.89472615662044</v>
      </c>
      <c r="K35" s="19">
        <f>Income!K40-MAX(0,Income!K40)*Inputs!$B$52+Assets!K13+Assets!K21-Assets!K11-Assets!K19-WorkingCapital!K25</f>
        <v>849.40127136885383</v>
      </c>
      <c r="L35" s="19">
        <f>Income!L40-MAX(0,Income!L40)*Inputs!$B$52+Assets!L13+Assets!L21-Assets!L11-Assets!L19-WorkingCapital!L25</f>
        <v>833.99213070992187</v>
      </c>
      <c r="M35" s="19">
        <f>Income!M40-MAX(0,Income!M40)*Inputs!$B$52+Assets!M13+Assets!M21-Assets!M11-Assets!M19-WorkingCapital!M25</f>
        <v>818.6938122681122</v>
      </c>
      <c r="N35" s="19">
        <f>Income!N40-MAX(0,Income!N40)*Inputs!$B$52+Assets!N13+Assets!N21-Assets!N11-Assets!N19-WorkingCapital!N25</f>
        <v>803.52876967359055</v>
      </c>
      <c r="O35" s="19">
        <f>Income!O40-MAX(0,Income!O40)*Inputs!$B$52+Assets!O13+Assets!O21-Assets!O11-Assets!O19-WorkingCapital!O25</f>
        <v>788.51592372460368</v>
      </c>
      <c r="P35" s="19">
        <f>Income!P40-MAX(0,Income!P40)*Inputs!$B$52+Assets!P13+Assets!P21-Assets!P11-Assets!P19-WorkingCapital!P25</f>
        <v>773.67111851403649</v>
      </c>
      <c r="Q35" s="19">
        <f>Income!Q40-MAX(0,Income!Q40)*Inputs!$B$52+Assets!Q13+Assets!Q21-Assets!Q11-Assets!Q19-WorkingCapital!Q25</f>
        <v>759.00752024968972</v>
      </c>
    </row>
  </sheetData>
  <mergeCells count="2">
    <mergeCell ref="A2:Q2"/>
    <mergeCell ref="A1:Q1"/>
  </mergeCells>
  <pageMargins left="0.7" right="0.7" top="0.75" bottom="0.75" header="0.3" footer="0.3"/>
  <pageSetup paperSize="9" scale="3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24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Q1"/>
    </sheetView>
  </sheetViews>
  <sheetFormatPr defaultColWidth="8.42578125" defaultRowHeight="15" x14ac:dyDescent="0.25"/>
  <cols>
    <col min="1" max="1" width="59.7109375" style="4" customWidth="1"/>
    <col min="2" max="17" width="17.7109375" customWidth="1"/>
  </cols>
  <sheetData>
    <row r="1" spans="1:17" ht="30" customHeight="1" x14ac:dyDescent="0.25">
      <c r="A1" s="42" t="s">
        <v>145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2.1" customHeight="1" x14ac:dyDescent="0.25">
      <c r="A2" s="41" t="s">
        <v>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s="4" customFormat="1" ht="42" customHeight="1" x14ac:dyDescent="0.25">
      <c r="A3" s="3" t="s">
        <v>55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61</v>
      </c>
      <c r="H3" s="17" t="s">
        <v>62</v>
      </c>
      <c r="I3" s="17" t="s">
        <v>63</v>
      </c>
      <c r="J3" s="17" t="s">
        <v>64</v>
      </c>
      <c r="K3" s="17" t="s">
        <v>65</v>
      </c>
      <c r="L3" s="17" t="s">
        <v>66</v>
      </c>
      <c r="M3" s="17" t="s">
        <v>67</v>
      </c>
      <c r="N3" s="17" t="s">
        <v>68</v>
      </c>
      <c r="O3" s="17" t="s">
        <v>69</v>
      </c>
      <c r="P3" s="17" t="s">
        <v>70</v>
      </c>
      <c r="Q3" s="17" t="s">
        <v>71</v>
      </c>
    </row>
    <row r="4" spans="1:17" x14ac:dyDescent="0.2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5" t="s">
        <v>146</v>
      </c>
      <c r="B6" s="18">
        <f>IF(ISNUMBER(History!B33),History!B33,"")</f>
        <v>363</v>
      </c>
      <c r="C6" s="18">
        <f>IF(ISNUMBER(History!C33),History!C33,"")</f>
        <v>221</v>
      </c>
      <c r="D6" s="18">
        <f>IF(ISNUMBER(History!D33),History!D33,"")</f>
        <v>269</v>
      </c>
      <c r="E6" s="18">
        <f>IF(ISNUMBER(History!E33),History!E33,"")</f>
        <v>282</v>
      </c>
      <c r="F6" s="18">
        <f>IF(ISNUMBER(History!F33),History!F33,"")</f>
        <v>254</v>
      </c>
      <c r="G6" s="18">
        <f>IF(ISNUMBER(History!G33),History!G33,"")</f>
        <v>246</v>
      </c>
      <c r="H6" s="18">
        <f>Assets!H13+Assets!H21</f>
        <v>161.45204347950477</v>
      </c>
      <c r="I6" s="18">
        <f>Assets!I13+Assets!I21</f>
        <v>170.26758938913599</v>
      </c>
      <c r="J6" s="18">
        <f>Assets!J13+Assets!J21</f>
        <v>177.40125103317189</v>
      </c>
      <c r="K6" s="18">
        <f>Assets!K13+Assets!K21</f>
        <v>183.07486276534971</v>
      </c>
      <c r="L6" s="18">
        <f>Assets!L13+Assets!L21</f>
        <v>187.48229766877887</v>
      </c>
      <c r="M6" s="18">
        <f>Assets!M13+Assets!M21</f>
        <v>190.79296735429739</v>
      </c>
      <c r="N6" s="18">
        <f>Assets!N13+Assets!N21</f>
        <v>193.15488419124381</v>
      </c>
      <c r="O6" s="18">
        <f>Assets!O13+Assets!O21</f>
        <v>194.69734066844723</v>
      </c>
      <c r="P6" s="18">
        <f>Assets!P13+Assets!P21</f>
        <v>195.53325374597807</v>
      </c>
      <c r="Q6" s="18">
        <f>Assets!Q13+Assets!Q21</f>
        <v>195.7612160755958</v>
      </c>
    </row>
    <row r="7" spans="1:17" x14ac:dyDescent="0.2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5" t="s">
        <v>147</v>
      </c>
      <c r="B8" s="2"/>
      <c r="C8" s="2"/>
      <c r="D8" s="2"/>
      <c r="E8" s="2"/>
      <c r="F8" s="2"/>
      <c r="G8" s="2"/>
      <c r="H8" s="18">
        <f>Income!H8*Inputs!$B$53/Inputs!$B$27</f>
        <v>238.19265817727842</v>
      </c>
      <c r="I8" s="18">
        <f>Income!I8*Inputs!$B$53/Inputs!$B$27</f>
        <v>233.42880501373281</v>
      </c>
      <c r="J8" s="18">
        <f>Income!J8*Inputs!$B$53/Inputs!$B$27</f>
        <v>228.76022891345815</v>
      </c>
      <c r="K8" s="18">
        <f>Income!K8*Inputs!$B$53/Inputs!$B$27</f>
        <v>224.18502433518901</v>
      </c>
      <c r="L8" s="18">
        <f>Income!L8*Inputs!$B$53/Inputs!$B$27</f>
        <v>219.70132384848523</v>
      </c>
      <c r="M8" s="18">
        <f>Income!M8*Inputs!$B$53/Inputs!$B$27</f>
        <v>215.30729737151552</v>
      </c>
      <c r="N8" s="18">
        <f>Income!N8*Inputs!$B$53/Inputs!$B$27</f>
        <v>211.00115142408521</v>
      </c>
      <c r="O8" s="18">
        <f>Income!O8*Inputs!$B$53/Inputs!$B$27</f>
        <v>206.7811283956035</v>
      </c>
      <c r="P8" s="18">
        <f>Income!P8*Inputs!$B$53/Inputs!$B$27</f>
        <v>202.64550582769144</v>
      </c>
      <c r="Q8" s="18">
        <f>Income!Q8*Inputs!$B$53/Inputs!$B$27</f>
        <v>198.59259571113759</v>
      </c>
    </row>
    <row r="9" spans="1:17" x14ac:dyDescent="0.25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5" t="s">
        <v>148</v>
      </c>
      <c r="B10" s="2"/>
      <c r="C10" s="2">
        <f>IF(ISNUMBER(B14),B14,"")</f>
        <v>1009</v>
      </c>
      <c r="D10" s="2">
        <f>IF(ISNUMBER(C14),C14,"")</f>
        <v>1193</v>
      </c>
      <c r="E10" s="2">
        <f>IF(ISNUMBER(D14),D14,"")</f>
        <v>1220</v>
      </c>
      <c r="F10" s="2">
        <f>IF(ISNUMBER(E14),E14,"")</f>
        <v>1127</v>
      </c>
      <c r="G10" s="2"/>
      <c r="H10" s="18">
        <f>Stub!B21</f>
        <v>1174.4565444236371</v>
      </c>
      <c r="I10" s="2">
        <f t="shared" ref="I10:Q10" si="0">H14</f>
        <v>1247.3241077689347</v>
      </c>
      <c r="J10" s="2">
        <f t="shared" si="0"/>
        <v>1306.6897330681049</v>
      </c>
      <c r="K10" s="2">
        <f t="shared" si="0"/>
        <v>1354.329032429473</v>
      </c>
      <c r="L10" s="2">
        <f t="shared" si="0"/>
        <v>1391.7939090507728</v>
      </c>
      <c r="M10" s="2">
        <f t="shared" si="0"/>
        <v>1420.4405559809102</v>
      </c>
      <c r="N10" s="2">
        <f t="shared" si="0"/>
        <v>1441.4539543335509</v>
      </c>
      <c r="O10" s="2">
        <f t="shared" si="0"/>
        <v>1455.8693085351063</v>
      </c>
      <c r="P10" s="2">
        <f t="shared" si="0"/>
        <v>1464.5908014916024</v>
      </c>
      <c r="Q10" s="2">
        <f t="shared" si="0"/>
        <v>1468.4080046980687</v>
      </c>
    </row>
    <row r="11" spans="1:17" x14ac:dyDescent="0.25">
      <c r="A11" s="5" t="s">
        <v>135</v>
      </c>
      <c r="B11" s="18">
        <f>IF(ISNUMBER(History!B35),-History!B35,"")</f>
        <v>270</v>
      </c>
      <c r="C11" s="18">
        <f>IF(ISNUMBER(History!C35),-History!C35,"")</f>
        <v>328</v>
      </c>
      <c r="D11" s="18">
        <f>IF(ISNUMBER(History!D35),-History!D35,"")</f>
        <v>298</v>
      </c>
      <c r="E11" s="18">
        <f>IF(ISNUMBER(History!E35),-History!E35,"")</f>
        <v>226</v>
      </c>
      <c r="F11" s="18">
        <f>IF(ISNUMBER(History!F35),-History!F35,"")</f>
        <v>237</v>
      </c>
      <c r="G11" s="18">
        <f>-Inputs!$B$33</f>
        <v>242</v>
      </c>
      <c r="H11" s="18">
        <f>Income!H8*H12</f>
        <v>234.31960682480235</v>
      </c>
      <c r="I11" s="18">
        <f>Income!I8*I12</f>
        <v>229.63321468830631</v>
      </c>
      <c r="J11" s="18">
        <f>Income!J8*J12</f>
        <v>225.04055039454016</v>
      </c>
      <c r="K11" s="18">
        <f>Income!K8*K12</f>
        <v>220.53973938664936</v>
      </c>
      <c r="L11" s="18">
        <f>Income!L8*L12</f>
        <v>216.12894459891641</v>
      </c>
      <c r="M11" s="18">
        <f>Income!M8*M12</f>
        <v>211.80636570693807</v>
      </c>
      <c r="N11" s="18">
        <f>Income!N8*N12</f>
        <v>207.5702383927993</v>
      </c>
      <c r="O11" s="18">
        <f>Income!O8*O12</f>
        <v>203.41883362494332</v>
      </c>
      <c r="P11" s="18">
        <f>Income!P8*P12</f>
        <v>199.35045695244443</v>
      </c>
      <c r="Q11" s="18">
        <f>Income!Q8*Q12</f>
        <v>195.36344781339554</v>
      </c>
    </row>
    <row r="12" spans="1:17" x14ac:dyDescent="0.25">
      <c r="A12" s="5" t="s">
        <v>149</v>
      </c>
      <c r="B12" s="26">
        <f>IF(AND(ISNUMBER(B11),Income!B8&lt;&gt;0),B11/Income!B8,"")</f>
        <v>3.4255265161126619E-2</v>
      </c>
      <c r="C12" s="26">
        <f>IF(AND(ISNUMBER(C11),Income!C8&lt;&gt;0),C11/Income!C8,"")</f>
        <v>4.3386243386243389E-2</v>
      </c>
      <c r="D12" s="26">
        <f>IF(AND(ISNUMBER(D11),Income!D8&lt;&gt;0),D11/Income!D8,"")</f>
        <v>4.011307039978463E-2</v>
      </c>
      <c r="E12" s="26">
        <f>IF(AND(ISNUMBER(E11),Income!E8&lt;&gt;0),E11/Income!E8,"")</f>
        <v>3.0929245928561652E-2</v>
      </c>
      <c r="F12" s="26">
        <f>IF(AND(ISNUMBER(F11),Income!F8&lt;&gt;0),F11/Income!F8,"")</f>
        <v>3.2505829104375258E-2</v>
      </c>
      <c r="G12" s="26">
        <f>IF(AND(ISNUMBER(G11),Income!G8&lt;&gt;0),G11/Income!G8,"")</f>
        <v>3.356914967401859E-2</v>
      </c>
      <c r="H12" s="26">
        <f>-Inputs!$B$33/Inputs!$B$27</f>
        <v>3.356914967401859E-2</v>
      </c>
      <c r="I12" s="26">
        <f>-Inputs!$B$33/Inputs!$B$27</f>
        <v>3.356914967401859E-2</v>
      </c>
      <c r="J12" s="26">
        <f>-Inputs!$B$33/Inputs!$B$27</f>
        <v>3.356914967401859E-2</v>
      </c>
      <c r="K12" s="26">
        <f>-Inputs!$B$33/Inputs!$B$27</f>
        <v>3.356914967401859E-2</v>
      </c>
      <c r="L12" s="26">
        <f>-Inputs!$B$33/Inputs!$B$27</f>
        <v>3.356914967401859E-2</v>
      </c>
      <c r="M12" s="26">
        <f>-Inputs!$B$33/Inputs!$B$27</f>
        <v>3.356914967401859E-2</v>
      </c>
      <c r="N12" s="26">
        <f>-Inputs!$B$33/Inputs!$B$27</f>
        <v>3.356914967401859E-2</v>
      </c>
      <c r="O12" s="26">
        <f>-Inputs!$B$33/Inputs!$B$27</f>
        <v>3.356914967401859E-2</v>
      </c>
      <c r="P12" s="26">
        <f>-Inputs!$B$33/Inputs!$B$27</f>
        <v>3.356914967401859E-2</v>
      </c>
      <c r="Q12" s="26">
        <f>-Inputs!$B$33/Inputs!$B$27</f>
        <v>3.356914967401859E-2</v>
      </c>
    </row>
    <row r="13" spans="1:17" x14ac:dyDescent="0.25">
      <c r="A13" s="5" t="s">
        <v>150</v>
      </c>
      <c r="B13" s="2"/>
      <c r="C13" s="2"/>
      <c r="D13" s="2"/>
      <c r="E13" s="2"/>
      <c r="F13" s="2"/>
      <c r="G13" s="2"/>
      <c r="H13" s="18">
        <f>MIN(H10,H10/H16*Income!H5)+MIN(H11,H11/H16*0.5*Income!H5)</f>
        <v>161.45204347950477</v>
      </c>
      <c r="I13" s="18">
        <f>MIN(I10,I10/I16*Income!I5)+MIN(I11,I11/I16*0.5*Income!I5)</f>
        <v>170.26758938913599</v>
      </c>
      <c r="J13" s="18">
        <f>MIN(J10,J10/J16*Income!J5)+MIN(J11,J11/J16*0.5*Income!J5)</f>
        <v>177.40125103317189</v>
      </c>
      <c r="K13" s="18">
        <f>MIN(K10,K10/K16*Income!K5)+MIN(K11,K11/K16*0.5*Income!K5)</f>
        <v>183.07486276534971</v>
      </c>
      <c r="L13" s="18">
        <f>MIN(L10,L10/L16*Income!L5)+MIN(L11,L11/L16*0.5*Income!L5)</f>
        <v>187.48229766877887</v>
      </c>
      <c r="M13" s="18">
        <f>MIN(M10,M10/M16*Income!M5)+MIN(M11,M11/M16*0.5*Income!M5)</f>
        <v>190.79296735429739</v>
      </c>
      <c r="N13" s="18">
        <f>MIN(N10,N10/N16*Income!N5)+MIN(N11,N11/N16*0.5*Income!N5)</f>
        <v>193.15488419124381</v>
      </c>
      <c r="O13" s="18">
        <f>MIN(O10,O10/O16*Income!O5)+MIN(O11,O11/O16*0.5*Income!O5)</f>
        <v>194.69734066844723</v>
      </c>
      <c r="P13" s="18">
        <f>MIN(P10,P10/P16*Income!P5)+MIN(P11,P11/P16*0.5*Income!P5)</f>
        <v>195.53325374597807</v>
      </c>
      <c r="Q13" s="18">
        <f>MIN(Q10,Q10/Q16*Income!Q5)+MIN(Q11,Q11/Q16*0.5*Income!Q5)</f>
        <v>195.7612160755958</v>
      </c>
    </row>
    <row r="14" spans="1:17" x14ac:dyDescent="0.25">
      <c r="A14" s="21" t="s">
        <v>151</v>
      </c>
      <c r="B14" s="19">
        <f>IF(ISNUMBER(History!B23),History!B23,"")</f>
        <v>1009</v>
      </c>
      <c r="C14" s="19">
        <f>IF(ISNUMBER(History!C23),History!C23,"")</f>
        <v>1193</v>
      </c>
      <c r="D14" s="19">
        <f>IF(ISNUMBER(History!D23),History!D23,"")</f>
        <v>1220</v>
      </c>
      <c r="E14" s="19">
        <f>IF(ISNUMBER(History!E23),History!E23,"")</f>
        <v>1127</v>
      </c>
      <c r="F14" s="19">
        <f>IF(ISNUMBER(History!F23),History!F23,"")</f>
        <v>1127</v>
      </c>
      <c r="G14" s="19">
        <f>Inputs!$B$11</f>
        <v>1106</v>
      </c>
      <c r="H14" s="20">
        <f t="shared" ref="H14:Q14" si="1">H10+H11-H13</f>
        <v>1247.3241077689347</v>
      </c>
      <c r="I14" s="20">
        <f t="shared" si="1"/>
        <v>1306.6897330681049</v>
      </c>
      <c r="J14" s="20">
        <f t="shared" si="1"/>
        <v>1354.329032429473</v>
      </c>
      <c r="K14" s="20">
        <f t="shared" si="1"/>
        <v>1391.7939090507728</v>
      </c>
      <c r="L14" s="20">
        <f t="shared" si="1"/>
        <v>1420.4405559809102</v>
      </c>
      <c r="M14" s="20">
        <f t="shared" si="1"/>
        <v>1441.4539543335509</v>
      </c>
      <c r="N14" s="20">
        <f t="shared" si="1"/>
        <v>1455.8693085351063</v>
      </c>
      <c r="O14" s="20">
        <f t="shared" si="1"/>
        <v>1464.5908014916024</v>
      </c>
      <c r="P14" s="20">
        <f t="shared" si="1"/>
        <v>1468.4080046980687</v>
      </c>
      <c r="Q14" s="20">
        <f t="shared" si="1"/>
        <v>1468.0102364358686</v>
      </c>
    </row>
    <row r="15" spans="1:17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5" t="s">
        <v>152</v>
      </c>
      <c r="B16" s="27"/>
      <c r="C16" s="27"/>
      <c r="D16" s="27"/>
      <c r="E16" s="27"/>
      <c r="F16" s="27"/>
      <c r="G16" s="27"/>
      <c r="H16" s="28">
        <f>Inputs!$B$56</f>
        <v>8</v>
      </c>
      <c r="I16" s="28">
        <f>Inputs!$B$56</f>
        <v>8</v>
      </c>
      <c r="J16" s="28">
        <f>Inputs!$B$56</f>
        <v>8</v>
      </c>
      <c r="K16" s="28">
        <f>Inputs!$B$56</f>
        <v>8</v>
      </c>
      <c r="L16" s="28">
        <f>Inputs!$B$56</f>
        <v>8</v>
      </c>
      <c r="M16" s="28">
        <f>Inputs!$B$56</f>
        <v>8</v>
      </c>
      <c r="N16" s="28">
        <f>Inputs!$B$56</f>
        <v>8</v>
      </c>
      <c r="O16" s="28">
        <f>Inputs!$B$56</f>
        <v>8</v>
      </c>
      <c r="P16" s="28">
        <f>Inputs!$B$56</f>
        <v>8</v>
      </c>
      <c r="Q16" s="28">
        <f>Inputs!$B$56</f>
        <v>8</v>
      </c>
    </row>
    <row r="17" spans="1:17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5" t="s">
        <v>153</v>
      </c>
      <c r="B18" s="2"/>
      <c r="C18" s="2" t="str">
        <f>IF(ISNUMBER(B22),B22,"")</f>
        <v/>
      </c>
      <c r="D18" s="2" t="str">
        <f>IF(ISNUMBER(C22),C22,"")</f>
        <v/>
      </c>
      <c r="E18" s="2" t="str">
        <f>IF(ISNUMBER(D22),D22,"")</f>
        <v/>
      </c>
      <c r="F18" s="2" t="str">
        <f>IF(ISNUMBER(E22),E22,"")</f>
        <v/>
      </c>
      <c r="G18" s="2"/>
      <c r="H18" s="18">
        <f>Stub!B25</f>
        <v>0</v>
      </c>
      <c r="I18" s="2">
        <f t="shared" ref="I18:Q18" si="2">H22</f>
        <v>0</v>
      </c>
      <c r="J18" s="2">
        <f t="shared" si="2"/>
        <v>0</v>
      </c>
      <c r="K18" s="2">
        <f t="shared" si="2"/>
        <v>0</v>
      </c>
      <c r="L18" s="2">
        <f t="shared" si="2"/>
        <v>0</v>
      </c>
      <c r="M18" s="2">
        <f t="shared" si="2"/>
        <v>0</v>
      </c>
      <c r="N18" s="2">
        <f t="shared" si="2"/>
        <v>0</v>
      </c>
      <c r="O18" s="2">
        <f t="shared" si="2"/>
        <v>0</v>
      </c>
      <c r="P18" s="2">
        <f t="shared" si="2"/>
        <v>0</v>
      </c>
      <c r="Q18" s="2">
        <f t="shared" si="2"/>
        <v>0</v>
      </c>
    </row>
    <row r="19" spans="1:17" x14ac:dyDescent="0.25">
      <c r="A19" s="5" t="s">
        <v>154</v>
      </c>
      <c r="B19" s="2"/>
      <c r="C19" s="2"/>
      <c r="D19" s="2"/>
      <c r="E19" s="2"/>
      <c r="F19" s="2"/>
      <c r="G19" s="2"/>
      <c r="H19" s="18">
        <f>Income!H8*H20</f>
        <v>0</v>
      </c>
      <c r="I19" s="18">
        <f>Income!I8*I20</f>
        <v>0</v>
      </c>
      <c r="J19" s="18">
        <f>Income!J8*J20</f>
        <v>0</v>
      </c>
      <c r="K19" s="18">
        <f>Income!K8*K20</f>
        <v>0</v>
      </c>
      <c r="L19" s="18">
        <f>Income!L8*L20</f>
        <v>0</v>
      </c>
      <c r="M19" s="18">
        <f>Income!M8*M20</f>
        <v>0</v>
      </c>
      <c r="N19" s="18">
        <f>Income!N8*N20</f>
        <v>0</v>
      </c>
      <c r="O19" s="18">
        <f>Income!O8*O20</f>
        <v>0</v>
      </c>
      <c r="P19" s="18">
        <f>Income!P8*P20</f>
        <v>0</v>
      </c>
      <c r="Q19" s="18">
        <f>Income!Q8*Q20</f>
        <v>0</v>
      </c>
    </row>
    <row r="20" spans="1:17" x14ac:dyDescent="0.25">
      <c r="A20" s="5" t="s">
        <v>155</v>
      </c>
      <c r="B20" s="25"/>
      <c r="C20" s="25"/>
      <c r="D20" s="25"/>
      <c r="E20" s="25"/>
      <c r="F20" s="25"/>
      <c r="G20" s="25"/>
      <c r="H20" s="26">
        <f>Inputs!$B$58</f>
        <v>0</v>
      </c>
      <c r="I20" s="26">
        <f>Inputs!$B$58</f>
        <v>0</v>
      </c>
      <c r="J20" s="26">
        <f>Inputs!$B$58</f>
        <v>0</v>
      </c>
      <c r="K20" s="26">
        <f>Inputs!$B$58</f>
        <v>0</v>
      </c>
      <c r="L20" s="26">
        <f>Inputs!$B$58</f>
        <v>0</v>
      </c>
      <c r="M20" s="26">
        <f>Inputs!$B$58</f>
        <v>0</v>
      </c>
      <c r="N20" s="26">
        <f>Inputs!$B$58</f>
        <v>0</v>
      </c>
      <c r="O20" s="26">
        <f>Inputs!$B$58</f>
        <v>0</v>
      </c>
      <c r="P20" s="26">
        <f>Inputs!$B$58</f>
        <v>0</v>
      </c>
      <c r="Q20" s="26">
        <f>Inputs!$B$58</f>
        <v>0</v>
      </c>
    </row>
    <row r="21" spans="1:17" x14ac:dyDescent="0.25">
      <c r="A21" s="5" t="s">
        <v>156</v>
      </c>
      <c r="B21" s="2"/>
      <c r="C21" s="2"/>
      <c r="D21" s="2"/>
      <c r="E21" s="2"/>
      <c r="F21" s="2"/>
      <c r="G21" s="2"/>
      <c r="H21" s="18">
        <f>MIN(H18,H18/H24*Income!H5)+MIN(H19,H19/H24*0.5*Income!H5)</f>
        <v>0</v>
      </c>
      <c r="I21" s="18">
        <f>MIN(I18,I18/I24*Income!I5)+MIN(I19,I19/I24*0.5*Income!I5)</f>
        <v>0</v>
      </c>
      <c r="J21" s="18">
        <f>MIN(J18,J18/J24*Income!J5)+MIN(J19,J19/J24*0.5*Income!J5)</f>
        <v>0</v>
      </c>
      <c r="K21" s="18">
        <f>MIN(K18,K18/K24*Income!K5)+MIN(K19,K19/K24*0.5*Income!K5)</f>
        <v>0</v>
      </c>
      <c r="L21" s="18">
        <f>MIN(L18,L18/L24*Income!L5)+MIN(L19,L19/L24*0.5*Income!L5)</f>
        <v>0</v>
      </c>
      <c r="M21" s="18">
        <f>MIN(M18,M18/M24*Income!M5)+MIN(M19,M19/M24*0.5*Income!M5)</f>
        <v>0</v>
      </c>
      <c r="N21" s="18">
        <f>MIN(N18,N18/N24*Income!N5)+MIN(N19,N19/N24*0.5*Income!N5)</f>
        <v>0</v>
      </c>
      <c r="O21" s="18">
        <f>MIN(O18,O18/O24*Income!O5)+MIN(O19,O19/O24*0.5*Income!O5)</f>
        <v>0</v>
      </c>
      <c r="P21" s="18">
        <f>MIN(P18,P18/P24*Income!P5)+MIN(P19,P19/P24*0.5*Income!P5)</f>
        <v>0</v>
      </c>
      <c r="Q21" s="18">
        <f>MIN(Q18,Q18/Q24*Income!Q5)+MIN(Q19,Q19/Q24*0.5*Income!Q5)</f>
        <v>0</v>
      </c>
    </row>
    <row r="22" spans="1:17" x14ac:dyDescent="0.25">
      <c r="A22" s="21" t="s">
        <v>157</v>
      </c>
      <c r="B22" s="22" t="str">
        <f>IF(ISNUMBER(History!B24),History!B24,"")</f>
        <v/>
      </c>
      <c r="C22" s="22" t="str">
        <f>IF(ISNUMBER(History!C24),History!C24,"")</f>
        <v/>
      </c>
      <c r="D22" s="22" t="str">
        <f>IF(ISNUMBER(History!D24),History!D24,"")</f>
        <v/>
      </c>
      <c r="E22" s="22" t="str">
        <f>IF(ISNUMBER(History!E24),History!E24,"")</f>
        <v/>
      </c>
      <c r="F22" s="19" t="str">
        <f>IF(ISNUMBER(History!F24),History!F24,"")</f>
        <v/>
      </c>
      <c r="G22" s="19">
        <f>Inputs!$B$12</f>
        <v>0</v>
      </c>
      <c r="H22" s="20">
        <f t="shared" ref="H22:Q22" si="3">H18+H19-H21</f>
        <v>0</v>
      </c>
      <c r="I22" s="20">
        <f t="shared" si="3"/>
        <v>0</v>
      </c>
      <c r="J22" s="20">
        <f t="shared" si="3"/>
        <v>0</v>
      </c>
      <c r="K22" s="20">
        <f t="shared" si="3"/>
        <v>0</v>
      </c>
      <c r="L22" s="20">
        <f t="shared" si="3"/>
        <v>0</v>
      </c>
      <c r="M22" s="20">
        <f t="shared" si="3"/>
        <v>0</v>
      </c>
      <c r="N22" s="20">
        <f t="shared" si="3"/>
        <v>0</v>
      </c>
      <c r="O22" s="20">
        <f t="shared" si="3"/>
        <v>0</v>
      </c>
      <c r="P22" s="20">
        <f t="shared" si="3"/>
        <v>0</v>
      </c>
      <c r="Q22" s="20">
        <f t="shared" si="3"/>
        <v>0</v>
      </c>
    </row>
    <row r="23" spans="1:17" x14ac:dyDescent="0.25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5" t="s">
        <v>158</v>
      </c>
      <c r="B24" s="27"/>
      <c r="C24" s="27"/>
      <c r="D24" s="27"/>
      <c r="E24" s="27"/>
      <c r="F24" s="27"/>
      <c r="G24" s="27"/>
      <c r="H24" s="28">
        <f>Inputs!$B$57</f>
        <v>5</v>
      </c>
      <c r="I24" s="28">
        <f>Inputs!$B$57</f>
        <v>5</v>
      </c>
      <c r="J24" s="28">
        <f>Inputs!$B$57</f>
        <v>5</v>
      </c>
      <c r="K24" s="28">
        <f>Inputs!$B$57</f>
        <v>5</v>
      </c>
      <c r="L24" s="28">
        <f>Inputs!$B$57</f>
        <v>5</v>
      </c>
      <c r="M24" s="28">
        <f>Inputs!$B$57</f>
        <v>5</v>
      </c>
      <c r="N24" s="28">
        <f>Inputs!$B$57</f>
        <v>5</v>
      </c>
      <c r="O24" s="28">
        <f>Inputs!$B$57</f>
        <v>5</v>
      </c>
      <c r="P24" s="28">
        <f>Inputs!$B$57</f>
        <v>5</v>
      </c>
      <c r="Q24" s="28">
        <f>Inputs!$B$57</f>
        <v>5</v>
      </c>
    </row>
  </sheetData>
  <mergeCells count="2">
    <mergeCell ref="A2:Q2"/>
    <mergeCell ref="A1:Q1"/>
  </mergeCells>
  <pageMargins left="0.7" right="0.7" top="0.75" bottom="0.75" header="0.3" footer="0.3"/>
  <pageSetup paperSize="9" scale="3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5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Q1"/>
    </sheetView>
  </sheetViews>
  <sheetFormatPr defaultColWidth="8.42578125" defaultRowHeight="15" x14ac:dyDescent="0.25"/>
  <cols>
    <col min="1" max="1" width="59.7109375" style="4" customWidth="1"/>
    <col min="2" max="17" width="17.7109375" customWidth="1"/>
  </cols>
  <sheetData>
    <row r="1" spans="1:17" ht="30" customHeight="1" x14ac:dyDescent="0.25">
      <c r="A1" s="42" t="s">
        <v>159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2.1" customHeight="1" x14ac:dyDescent="0.25">
      <c r="A2" s="41" t="s">
        <v>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s="4" customFormat="1" ht="42" customHeight="1" x14ac:dyDescent="0.25">
      <c r="A3" s="3" t="s">
        <v>55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61</v>
      </c>
      <c r="H3" s="17" t="s">
        <v>62</v>
      </c>
      <c r="I3" s="17" t="s">
        <v>63</v>
      </c>
      <c r="J3" s="17" t="s">
        <v>64</v>
      </c>
      <c r="K3" s="17" t="s">
        <v>65</v>
      </c>
      <c r="L3" s="17" t="s">
        <v>66</v>
      </c>
      <c r="M3" s="17" t="s">
        <v>67</v>
      </c>
      <c r="N3" s="17" t="s">
        <v>68</v>
      </c>
      <c r="O3" s="17" t="s">
        <v>69</v>
      </c>
      <c r="P3" s="17" t="s">
        <v>70</v>
      </c>
      <c r="Q3" s="17" t="s">
        <v>71</v>
      </c>
    </row>
    <row r="4" spans="1:17" x14ac:dyDescent="0.25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5" t="s">
        <v>109</v>
      </c>
      <c r="B8" s="18">
        <f>IF(ISNUMBER(History!B43),History!B43,"")</f>
        <v>1030</v>
      </c>
      <c r="C8" s="18">
        <f>IF(ISNUMBER(History!C43),History!C43,"")</f>
        <v>1034</v>
      </c>
      <c r="D8" s="18">
        <f>IF(ISNUMBER(History!D43),History!D43,"")</f>
        <v>1031</v>
      </c>
      <c r="E8" s="18">
        <f>IF(ISNUMBER(History!E43),History!E43,"")</f>
        <v>1149</v>
      </c>
      <c r="F8" s="18">
        <f>IF(ISNUMBER(History!F43),History!F43,"")</f>
        <v>1066</v>
      </c>
      <c r="G8" s="18">
        <f>Inputs!$B$7</f>
        <v>1256</v>
      </c>
      <c r="H8" s="18">
        <f>Inputs!$B$7*Income!H8/Income!H5/Inputs!$B$27</f>
        <v>1216.1381246774865</v>
      </c>
      <c r="I8" s="18">
        <f>Inputs!$B$7*Income!I8/Income!I5/Inputs!$B$27</f>
        <v>1191.8153621839367</v>
      </c>
      <c r="J8" s="18">
        <f>Inputs!$B$7*Income!J8/Income!J5/Inputs!$B$27</f>
        <v>1167.979054940258</v>
      </c>
      <c r="K8" s="18">
        <f>Inputs!$B$7*Income!K8/Income!K5/Inputs!$B$27</f>
        <v>1144.6194738414529</v>
      </c>
      <c r="L8" s="18">
        <f>Inputs!$B$7*Income!L8/Income!L5/Inputs!$B$27</f>
        <v>1121.7270843646238</v>
      </c>
      <c r="M8" s="18">
        <f>Inputs!$B$7*Income!M8/Income!M5/Inputs!$B$27</f>
        <v>1099.2925426773313</v>
      </c>
      <c r="N8" s="18">
        <f>Inputs!$B$7*Income!N8/Income!N5/Inputs!$B$27</f>
        <v>1077.3066918237846</v>
      </c>
      <c r="O8" s="18">
        <f>Inputs!$B$7*Income!O8/Income!O5/Inputs!$B$27</f>
        <v>1055.7605579873091</v>
      </c>
      <c r="P8" s="18">
        <f>Inputs!$B$7*Income!P8/Income!P5/Inputs!$B$27</f>
        <v>1034.6453468275627</v>
      </c>
      <c r="Q8" s="18">
        <f>Inputs!$B$7*Income!Q8/Income!Q5/Inputs!$B$27</f>
        <v>1013.9524398910114</v>
      </c>
    </row>
    <row r="9" spans="1:17" x14ac:dyDescent="0.25">
      <c r="A9" s="5" t="s">
        <v>160</v>
      </c>
      <c r="B9" s="25"/>
      <c r="C9" s="25"/>
      <c r="D9" s="25"/>
      <c r="E9" s="25"/>
      <c r="F9" s="25"/>
      <c r="G9" s="25"/>
      <c r="H9" s="26">
        <f>Inputs!$B$7/Inputs!$B$27</f>
        <v>0.17422666111804688</v>
      </c>
      <c r="I9" s="26">
        <f>Inputs!$B$7/Inputs!$B$27</f>
        <v>0.17422666111804688</v>
      </c>
      <c r="J9" s="26">
        <f>Inputs!$B$7/Inputs!$B$27</f>
        <v>0.17422666111804688</v>
      </c>
      <c r="K9" s="26">
        <f>Inputs!$B$7/Inputs!$B$27</f>
        <v>0.17422666111804688</v>
      </c>
      <c r="L9" s="26">
        <f>Inputs!$B$7/Inputs!$B$27</f>
        <v>0.17422666111804688</v>
      </c>
      <c r="M9" s="26">
        <f>Inputs!$B$7/Inputs!$B$27</f>
        <v>0.17422666111804688</v>
      </c>
      <c r="N9" s="26">
        <f>Inputs!$B$7/Inputs!$B$27</f>
        <v>0.17422666111804688</v>
      </c>
      <c r="O9" s="26">
        <f>Inputs!$B$7/Inputs!$B$27</f>
        <v>0.17422666111804688</v>
      </c>
      <c r="P9" s="26">
        <f>Inputs!$B$7/Inputs!$B$27</f>
        <v>0.17422666111804688</v>
      </c>
      <c r="Q9" s="26">
        <f>Inputs!$B$7/Inputs!$B$27</f>
        <v>0.17422666111804688</v>
      </c>
    </row>
    <row r="10" spans="1:17" x14ac:dyDescent="0.25">
      <c r="A10" s="5" t="s">
        <v>161</v>
      </c>
      <c r="B10" s="2"/>
      <c r="C10" s="2"/>
      <c r="D10" s="2"/>
      <c r="E10" s="2"/>
      <c r="F10" s="2"/>
      <c r="G10" s="18">
        <f>Inputs!$B$8</f>
        <v>0</v>
      </c>
      <c r="H10" s="18">
        <f>Inputs!$B$8*Income!H8/Income!H5/Inputs!$B$27</f>
        <v>0</v>
      </c>
      <c r="I10" s="18">
        <f>Inputs!$B$8*Income!I8/Income!I5/Inputs!$B$27</f>
        <v>0</v>
      </c>
      <c r="J10" s="18">
        <f>Inputs!$B$8*Income!J8/Income!J5/Inputs!$B$27</f>
        <v>0</v>
      </c>
      <c r="K10" s="18">
        <f>Inputs!$B$8*Income!K8/Income!K5/Inputs!$B$27</f>
        <v>0</v>
      </c>
      <c r="L10" s="18">
        <f>Inputs!$B$8*Income!L8/Income!L5/Inputs!$B$27</f>
        <v>0</v>
      </c>
      <c r="M10" s="18">
        <f>Inputs!$B$8*Income!M8/Income!M5/Inputs!$B$27</f>
        <v>0</v>
      </c>
      <c r="N10" s="18">
        <f>Inputs!$B$8*Income!N8/Income!N5/Inputs!$B$27</f>
        <v>0</v>
      </c>
      <c r="O10" s="18">
        <f>Inputs!$B$8*Income!O8/Income!O5/Inputs!$B$27</f>
        <v>0</v>
      </c>
      <c r="P10" s="18">
        <f>Inputs!$B$8*Income!P8/Income!P5/Inputs!$B$27</f>
        <v>0</v>
      </c>
      <c r="Q10" s="18">
        <f>Inputs!$B$8*Income!Q8/Income!Q5/Inputs!$B$27</f>
        <v>0</v>
      </c>
    </row>
    <row r="11" spans="1:17" x14ac:dyDescent="0.25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5" t="s">
        <v>162</v>
      </c>
      <c r="B12" s="2"/>
      <c r="C12" s="2"/>
      <c r="D12" s="2"/>
      <c r="E12" s="2"/>
      <c r="F12" s="2"/>
      <c r="G12" s="18">
        <f>Inputs!$B$9</f>
        <v>0</v>
      </c>
      <c r="H12" s="18">
        <f>Inputs!$B$9*Income!H26/Income!H5/Inputs!$B$39</f>
        <v>0</v>
      </c>
      <c r="I12" s="18">
        <f>Inputs!$B$9*Income!I26/Income!I5/Inputs!$B$39</f>
        <v>0</v>
      </c>
      <c r="J12" s="18">
        <f>Inputs!$B$9*Income!J26/Income!J5/Inputs!$B$39</f>
        <v>0</v>
      </c>
      <c r="K12" s="18">
        <f>Inputs!$B$9*Income!K26/Income!K5/Inputs!$B$39</f>
        <v>0</v>
      </c>
      <c r="L12" s="18">
        <f>Inputs!$B$9*Income!L26/Income!L5/Inputs!$B$39</f>
        <v>0</v>
      </c>
      <c r="M12" s="18">
        <f>Inputs!$B$9*Income!M26/Income!M5/Inputs!$B$39</f>
        <v>0</v>
      </c>
      <c r="N12" s="18">
        <f>Inputs!$B$9*Income!N26/Income!N5/Inputs!$B$39</f>
        <v>0</v>
      </c>
      <c r="O12" s="18">
        <f>Inputs!$B$9*Income!O26/Income!O5/Inputs!$B$39</f>
        <v>0</v>
      </c>
      <c r="P12" s="18">
        <f>Inputs!$B$9*Income!P26/Income!P5/Inputs!$B$39</f>
        <v>0</v>
      </c>
      <c r="Q12" s="18">
        <f>Inputs!$B$9*Income!Q26/Income!Q5/Inputs!$B$39</f>
        <v>0</v>
      </c>
    </row>
    <row r="13" spans="1:17" x14ac:dyDescent="0.25">
      <c r="A13" s="5" t="s">
        <v>163</v>
      </c>
      <c r="B13" s="25"/>
      <c r="C13" s="25"/>
      <c r="D13" s="25"/>
      <c r="E13" s="25"/>
      <c r="F13" s="25"/>
      <c r="G13" s="25"/>
      <c r="H13" s="26">
        <f>Inputs!$B$9/Inputs!$B$39</f>
        <v>0</v>
      </c>
      <c r="I13" s="26">
        <f>Inputs!$B$9/Inputs!$B$39</f>
        <v>0</v>
      </c>
      <c r="J13" s="26">
        <f>Inputs!$B$9/Inputs!$B$39</f>
        <v>0</v>
      </c>
      <c r="K13" s="26">
        <f>Inputs!$B$9/Inputs!$B$39</f>
        <v>0</v>
      </c>
      <c r="L13" s="26">
        <f>Inputs!$B$9/Inputs!$B$39</f>
        <v>0</v>
      </c>
      <c r="M13" s="26">
        <f>Inputs!$B$9/Inputs!$B$39</f>
        <v>0</v>
      </c>
      <c r="N13" s="26">
        <f>Inputs!$B$9/Inputs!$B$39</f>
        <v>0</v>
      </c>
      <c r="O13" s="26">
        <f>Inputs!$B$9/Inputs!$B$39</f>
        <v>0</v>
      </c>
      <c r="P13" s="26">
        <f>Inputs!$B$9/Inputs!$B$39</f>
        <v>0</v>
      </c>
      <c r="Q13" s="26">
        <f>Inputs!$B$9/Inputs!$B$39</f>
        <v>0</v>
      </c>
    </row>
    <row r="14" spans="1:17" x14ac:dyDescent="0.25">
      <c r="A14" s="5" t="s">
        <v>164</v>
      </c>
      <c r="B14" s="2"/>
      <c r="C14" s="2"/>
      <c r="D14" s="2"/>
      <c r="E14" s="2"/>
      <c r="F14" s="2"/>
      <c r="G14" s="18">
        <f>Inputs!$B$10</f>
        <v>0</v>
      </c>
      <c r="H14" s="18">
        <f>(Inputs!$B$10-Inputs!$B$13)*Income!H8/Income!H5/Inputs!$B$27</f>
        <v>0</v>
      </c>
      <c r="I14" s="18">
        <f>(Inputs!$B$10-Inputs!$B$13)*Income!I8/Income!I5/Inputs!$B$27</f>
        <v>0</v>
      </c>
      <c r="J14" s="18">
        <f>(Inputs!$B$10-Inputs!$B$13)*Income!J8/Income!J5/Inputs!$B$27</f>
        <v>0</v>
      </c>
      <c r="K14" s="18">
        <f>(Inputs!$B$10-Inputs!$B$13)*Income!K8/Income!K5/Inputs!$B$27</f>
        <v>0</v>
      </c>
      <c r="L14" s="18">
        <f>(Inputs!$B$10-Inputs!$B$13)*Income!L8/Income!L5/Inputs!$B$27</f>
        <v>0</v>
      </c>
      <c r="M14" s="18">
        <f>(Inputs!$B$10-Inputs!$B$13)*Income!M8/Income!M5/Inputs!$B$27</f>
        <v>0</v>
      </c>
      <c r="N14" s="18">
        <f>(Inputs!$B$10-Inputs!$B$13)*Income!N8/Income!N5/Inputs!$B$27</f>
        <v>0</v>
      </c>
      <c r="O14" s="18">
        <f>(Inputs!$B$10-Inputs!$B$13)*Income!O8/Income!O5/Inputs!$B$27</f>
        <v>0</v>
      </c>
      <c r="P14" s="18">
        <f>(Inputs!$B$10-Inputs!$B$13)*Income!P8/Income!P5/Inputs!$B$27</f>
        <v>0</v>
      </c>
      <c r="Q14" s="18">
        <f>(Inputs!$B$10-Inputs!$B$13)*Income!Q8/Income!Q5/Inputs!$B$27</f>
        <v>0</v>
      </c>
    </row>
    <row r="15" spans="1:17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5" t="s">
        <v>115</v>
      </c>
      <c r="B18" s="18">
        <f>IF(ISNUMBER(History!B44),History!B44,"")</f>
        <v>1290</v>
      </c>
      <c r="C18" s="18">
        <f>IF(ISNUMBER(History!C44),History!C44,"")</f>
        <v>1379</v>
      </c>
      <c r="D18" s="18">
        <f>IF(ISNUMBER(History!D44),History!D44,"")</f>
        <v>1289</v>
      </c>
      <c r="E18" s="18">
        <f>IF(ISNUMBER(History!E44),History!E44,"")</f>
        <v>1231</v>
      </c>
      <c r="F18" s="18">
        <f>IF(ISNUMBER(History!F44),History!F44,"")</f>
        <v>1311</v>
      </c>
      <c r="G18" s="18">
        <f>Inputs!$B$15</f>
        <v>1459</v>
      </c>
      <c r="H18" s="18">
        <f>Inputs!$B$15*Income!H26/Income!H5/Inputs!$B$39</f>
        <v>1412.6954808156474</v>
      </c>
      <c r="I18" s="18">
        <f>Inputs!$B$15*Income!I26/Income!I5/Inputs!$B$39</f>
        <v>1384.4415711993342</v>
      </c>
      <c r="J18" s="18">
        <f>Inputs!$B$15*Income!J26/Income!J5/Inputs!$B$39</f>
        <v>1356.7527397753474</v>
      </c>
      <c r="K18" s="18">
        <f>Inputs!$B$15*Income!K26/Income!K5/Inputs!$B$39</f>
        <v>1329.6176849798405</v>
      </c>
      <c r="L18" s="18">
        <f>Inputs!$B$15*Income!L26/Income!L5/Inputs!$B$39</f>
        <v>1303.0253312802438</v>
      </c>
      <c r="M18" s="18">
        <f>Inputs!$B$15*Income!M26/Income!M5/Inputs!$B$39</f>
        <v>1276.9648246546387</v>
      </c>
      <c r="N18" s="18">
        <f>Inputs!$B$15*Income!N26/Income!N5/Inputs!$B$39</f>
        <v>1251.4255281615463</v>
      </c>
      <c r="O18" s="18">
        <f>Inputs!$B$15*Income!O26/Income!O5/Inputs!$B$39</f>
        <v>1226.3970175983152</v>
      </c>
      <c r="P18" s="18">
        <f>Inputs!$B$15*Income!P26/Income!P5/Inputs!$B$39</f>
        <v>1201.8690772463488</v>
      </c>
      <c r="Q18" s="18">
        <f>Inputs!$B$15*Income!Q26/Income!Q5/Inputs!$B$39</f>
        <v>1177.8316957014219</v>
      </c>
    </row>
    <row r="19" spans="1:17" x14ac:dyDescent="0.25">
      <c r="A19" s="5" t="s">
        <v>165</v>
      </c>
      <c r="B19" s="25"/>
      <c r="C19" s="25"/>
      <c r="D19" s="25"/>
      <c r="E19" s="25"/>
      <c r="F19" s="25"/>
      <c r="G19" s="25"/>
      <c r="H19" s="26">
        <f>Inputs!$B$15/Inputs!$B$39</f>
        <v>0.24304514409461936</v>
      </c>
      <c r="I19" s="26">
        <f>Inputs!$B$15/Inputs!$B$39</f>
        <v>0.24304514409461936</v>
      </c>
      <c r="J19" s="26">
        <f>Inputs!$B$15/Inputs!$B$39</f>
        <v>0.24304514409461936</v>
      </c>
      <c r="K19" s="26">
        <f>Inputs!$B$15/Inputs!$B$39</f>
        <v>0.24304514409461936</v>
      </c>
      <c r="L19" s="26">
        <f>Inputs!$B$15/Inputs!$B$39</f>
        <v>0.24304514409461936</v>
      </c>
      <c r="M19" s="26">
        <f>Inputs!$B$15/Inputs!$B$39</f>
        <v>0.24304514409461936</v>
      </c>
      <c r="N19" s="26">
        <f>Inputs!$B$15/Inputs!$B$39</f>
        <v>0.24304514409461936</v>
      </c>
      <c r="O19" s="26">
        <f>Inputs!$B$15/Inputs!$B$39</f>
        <v>0.24304514409461936</v>
      </c>
      <c r="P19" s="26">
        <f>Inputs!$B$15/Inputs!$B$39</f>
        <v>0.24304514409461936</v>
      </c>
      <c r="Q19" s="26">
        <f>Inputs!$B$15/Inputs!$B$39</f>
        <v>0.24304514409461936</v>
      </c>
    </row>
    <row r="20" spans="1:17" x14ac:dyDescent="0.25">
      <c r="A20" s="5" t="s">
        <v>119</v>
      </c>
      <c r="B20" s="2"/>
      <c r="C20" s="2"/>
      <c r="D20" s="2"/>
      <c r="E20" s="2"/>
      <c r="F20" s="2"/>
      <c r="G20" s="18">
        <f>Inputs!$B$16</f>
        <v>0</v>
      </c>
      <c r="H20" s="18">
        <f>Inputs!$B$16*Income!H8/Income!H5/Inputs!$B$27</f>
        <v>0</v>
      </c>
      <c r="I20" s="18">
        <f>Inputs!$B$16*Income!I8/Income!I5/Inputs!$B$27</f>
        <v>0</v>
      </c>
      <c r="J20" s="18">
        <f>Inputs!$B$16*Income!J8/Income!J5/Inputs!$B$27</f>
        <v>0</v>
      </c>
      <c r="K20" s="18">
        <f>Inputs!$B$16*Income!K8/Income!K5/Inputs!$B$27</f>
        <v>0</v>
      </c>
      <c r="L20" s="18">
        <f>Inputs!$B$16*Income!L8/Income!L5/Inputs!$B$27</f>
        <v>0</v>
      </c>
      <c r="M20" s="18">
        <f>Inputs!$B$16*Income!M8/Income!M5/Inputs!$B$27</f>
        <v>0</v>
      </c>
      <c r="N20" s="18">
        <f>Inputs!$B$16*Income!N8/Income!N5/Inputs!$B$27</f>
        <v>0</v>
      </c>
      <c r="O20" s="18">
        <f>Inputs!$B$16*Income!O8/Income!O5/Inputs!$B$27</f>
        <v>0</v>
      </c>
      <c r="P20" s="18">
        <f>Inputs!$B$16*Income!P8/Income!P5/Inputs!$B$27</f>
        <v>0</v>
      </c>
      <c r="Q20" s="18">
        <f>Inputs!$B$16*Income!Q8/Income!Q5/Inputs!$B$27</f>
        <v>0</v>
      </c>
    </row>
    <row r="21" spans="1:17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1" t="s">
        <v>166</v>
      </c>
      <c r="B23" s="20">
        <f>IF(COUNT(B8,B18)=2,B8-B18,"")</f>
        <v>-260</v>
      </c>
      <c r="C23" s="20">
        <f>IF(COUNT(C8,C18)=2,C8-C18,"")</f>
        <v>-345</v>
      </c>
      <c r="D23" s="20">
        <f>IF(COUNT(D8,D18)=2,D8-D18,"")</f>
        <v>-258</v>
      </c>
      <c r="E23" s="20">
        <f>IF(COUNT(E8,E18)=2,E8-E18,"")</f>
        <v>-82</v>
      </c>
      <c r="F23" s="20">
        <f>IF(COUNT(F8,F18)=2,F8-F18,"")</f>
        <v>-245</v>
      </c>
      <c r="G23" s="19">
        <f>Inputs!$B$7+Inputs!$B$8+Inputs!$B$9+Inputs!$B$10-Inputs!$B$13-Inputs!$B$15-Inputs!$B$16</f>
        <v>-203</v>
      </c>
      <c r="H23" s="20">
        <f t="shared" ref="H23:Q23" si="0">SUM(H8,H10,H12,H14)-H18-H20</f>
        <v>-196.55735613816091</v>
      </c>
      <c r="I23" s="20">
        <f t="shared" si="0"/>
        <v>-192.62620901539754</v>
      </c>
      <c r="J23" s="20">
        <f t="shared" si="0"/>
        <v>-188.7736848350894</v>
      </c>
      <c r="K23" s="20">
        <f t="shared" si="0"/>
        <v>-184.99821113838766</v>
      </c>
      <c r="L23" s="20">
        <f t="shared" si="0"/>
        <v>-181.29824691561998</v>
      </c>
      <c r="M23" s="20">
        <f t="shared" si="0"/>
        <v>-177.67228197730742</v>
      </c>
      <c r="N23" s="20">
        <f t="shared" si="0"/>
        <v>-174.11883633776165</v>
      </c>
      <c r="O23" s="20">
        <f t="shared" si="0"/>
        <v>-170.6364596110061</v>
      </c>
      <c r="P23" s="20">
        <f t="shared" si="0"/>
        <v>-167.22373041878609</v>
      </c>
      <c r="Q23" s="20">
        <f t="shared" si="0"/>
        <v>-163.87925581041054</v>
      </c>
    </row>
    <row r="24" spans="1:17" x14ac:dyDescent="0.25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1" t="s">
        <v>167</v>
      </c>
      <c r="B25" s="23"/>
      <c r="C25" s="20">
        <f>IF(COUNT(C23,B23)=2,C23-B23,"")</f>
        <v>-85</v>
      </c>
      <c r="D25" s="20">
        <f>IF(COUNT(D23,C23)=2,D23-C23,"")</f>
        <v>87</v>
      </c>
      <c r="E25" s="20">
        <f>IF(COUNT(E23,D23)=2,E23-D23,"")</f>
        <v>176</v>
      </c>
      <c r="F25" s="20">
        <f>IF(COUNT(F23,E23)=2,F23-E23,"")</f>
        <v>-163</v>
      </c>
      <c r="G25" s="23"/>
      <c r="H25" s="19">
        <f>H23-(Stub!B33)</f>
        <v>41.707030045776037</v>
      </c>
      <c r="I25" s="20">
        <f t="shared" ref="I25:Q25" si="1">I23-(H23)</f>
        <v>3.9311471227633774</v>
      </c>
      <c r="J25" s="20">
        <f t="shared" si="1"/>
        <v>3.8525241803081371</v>
      </c>
      <c r="K25" s="20">
        <f t="shared" si="1"/>
        <v>3.7754736967017379</v>
      </c>
      <c r="L25" s="20">
        <f t="shared" si="1"/>
        <v>3.6999642227676759</v>
      </c>
      <c r="M25" s="20">
        <f t="shared" si="1"/>
        <v>3.6259649383125634</v>
      </c>
      <c r="N25" s="20">
        <f t="shared" si="1"/>
        <v>3.553445639545771</v>
      </c>
      <c r="O25" s="20">
        <f t="shared" si="1"/>
        <v>3.4823767267555468</v>
      </c>
      <c r="P25" s="20">
        <f t="shared" si="1"/>
        <v>3.4127291922200129</v>
      </c>
      <c r="Q25" s="20">
        <f t="shared" si="1"/>
        <v>3.344474608375549</v>
      </c>
    </row>
  </sheetData>
  <mergeCells count="2">
    <mergeCell ref="A2:Q2"/>
    <mergeCell ref="A1:Q1"/>
  </mergeCells>
  <pageMargins left="0.7" right="0.7" top="0.75" bottom="0.75" header="0.3" footer="0.3"/>
  <pageSetup paperSize="9" scale="3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4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Q1"/>
    </sheetView>
  </sheetViews>
  <sheetFormatPr defaultColWidth="8.42578125" defaultRowHeight="15" x14ac:dyDescent="0.25"/>
  <cols>
    <col min="1" max="1" width="59.7109375" customWidth="1"/>
    <col min="2" max="17" width="17.7109375" customWidth="1"/>
  </cols>
  <sheetData>
    <row r="1" spans="1:17" ht="30" customHeight="1" x14ac:dyDescent="0.25">
      <c r="A1" s="42" t="s">
        <v>168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2.1" customHeight="1" x14ac:dyDescent="0.25">
      <c r="A2" s="41" t="s">
        <v>169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s="4" customFormat="1" ht="42" customHeight="1" x14ac:dyDescent="0.25">
      <c r="A3" s="3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1" t="s">
        <v>170</v>
      </c>
      <c r="B4" s="14">
        <f>Inputs!$B$60+Inputs!$B$62*Inputs!$B$61</f>
        <v>0.11699999999999999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1" t="s">
        <v>171</v>
      </c>
      <c r="B5" s="14">
        <f>(Inputs!$B$18+Inputs!$B$19+Inputs!$B$20)/((Inputs!$B$18+Inputs!$B$19+Inputs!$B$20)+Inputs!$B$65*Inputs!$B$26+Inputs!$B$25)</f>
        <v>0.51483757509664929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1" t="s">
        <v>7</v>
      </c>
      <c r="B6" s="14">
        <f>B4*(1-B5)+Inputs!$B$63*(1-Inputs!$B$52)*B5</f>
        <v>8.3680305979172365E-2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1" t="s">
        <v>172</v>
      </c>
      <c r="B7" s="14">
        <f>Inputs!$B$64</f>
        <v>0.02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1" t="s">
        <v>173</v>
      </c>
      <c r="B8" s="2" t="str">
        <f>IFERROR(IF(AND(Checks!B9="PASS",B6&gt;B7),"PASS","BLOCKED"),"BLOCKED")</f>
        <v>PASS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174</v>
      </c>
      <c r="B9" s="2">
        <f>Stub!B52/(1+B6)^Stub!B5+CashFlow!H35/(1+B6)^DCF!H44+CashFlow!I35/(1+B6)^DCF!I44+CashFlow!J35/(1+B6)^DCF!J44+CashFlow!K35/(1+B6)^DCF!K44+CashFlow!L35/(1+B6)^DCF!L44+CashFlow!M35/(1+B6)^DCF!M44+CashFlow!N35/(1+B6)^DCF!N44+CashFlow!O35/(1+B6)^DCF!O44+CashFlow!P35/(1+B6)^DCF!P44+CashFlow!Q35/(1+B6)^DCF!Q44</f>
        <v>5847.9692671421308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1" t="s">
        <v>175</v>
      </c>
      <c r="B10" s="2">
        <f>DCF!Q34*(1+B7)</f>
        <v>777.19331112778229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1" t="s">
        <v>176</v>
      </c>
      <c r="B11" s="2">
        <f>DCF!Q42*B7</f>
        <v>26.082619612509163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1" t="s">
        <v>177</v>
      </c>
      <c r="B12" s="2">
        <f>B10-B11</f>
        <v>751.11069151527317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1" t="s">
        <v>178</v>
      </c>
      <c r="B13" s="2">
        <f>IF(B8="PASS",B12/(B6-B7)/(1+B6)^DCF!Q44,"")</f>
        <v>5084.4081906808979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1" t="s">
        <v>179</v>
      </c>
      <c r="B14" s="2">
        <f>IF(B8="PASS",B9+B13,"")</f>
        <v>10932.37745782303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1" t="s">
        <v>180</v>
      </c>
      <c r="B15" s="2">
        <f>Inputs!$B$4+(Inputs!$B$5+Inputs!$B$6)</f>
        <v>794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" t="s">
        <v>181</v>
      </c>
      <c r="B16" s="2">
        <f>(Inputs!$B$18+Inputs!$B$19+Inputs!$B$20)</f>
        <v>3614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" t="s">
        <v>182</v>
      </c>
      <c r="B17" s="2">
        <f>IF(B8="PASS",B14+B15-B16-B21,"")</f>
        <v>8110.3774578230295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1" t="s">
        <v>183</v>
      </c>
      <c r="B18" s="2">
        <f>Inputs!$B$26</f>
        <v>203.44827586206901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1" t="s">
        <v>5</v>
      </c>
      <c r="B19" s="15">
        <f>IF(B8="PASS",B17/B18,"")</f>
        <v>39.864567165570811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1" t="s">
        <v>184</v>
      </c>
      <c r="B20" s="2" t="str">
        <f>IF(Checks!B8="PASS","PROVISIONAL_UNREVIEWED","EDITED_UNREVIEWED")</f>
        <v>PROVISIONAL_UNREVIEWED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1" t="s">
        <v>185</v>
      </c>
      <c r="B21" s="1">
        <f>Inputs!$B$25</f>
        <v>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1" t="s">
        <v>186</v>
      </c>
      <c r="B23" s="2">
        <f>Stub!B52/(1+B6)^Stub!B5</f>
        <v>569.72601300870508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1" t="s">
        <v>187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s="32" customFormat="1" ht="42" customHeight="1" x14ac:dyDescent="0.25">
      <c r="A25" s="33" t="s">
        <v>55</v>
      </c>
      <c r="B25" s="34" t="s">
        <v>56</v>
      </c>
      <c r="C25" s="34" t="s">
        <v>57</v>
      </c>
      <c r="D25" s="34" t="s">
        <v>58</v>
      </c>
      <c r="E25" s="34" t="s">
        <v>59</v>
      </c>
      <c r="F25" s="34" t="s">
        <v>60</v>
      </c>
      <c r="G25" s="34" t="s">
        <v>61</v>
      </c>
      <c r="H25" s="34" t="s">
        <v>62</v>
      </c>
      <c r="I25" s="34" t="s">
        <v>63</v>
      </c>
      <c r="J25" s="34" t="s">
        <v>64</v>
      </c>
      <c r="K25" s="34" t="s">
        <v>65</v>
      </c>
      <c r="L25" s="34" t="s">
        <v>66</v>
      </c>
      <c r="M25" s="34" t="s">
        <v>67</v>
      </c>
      <c r="N25" s="34" t="s">
        <v>68</v>
      </c>
      <c r="O25" s="34" t="s">
        <v>69</v>
      </c>
      <c r="P25" s="34" t="s">
        <v>70</v>
      </c>
      <c r="Q25" s="34" t="s">
        <v>71</v>
      </c>
    </row>
    <row r="26" spans="1:17" x14ac:dyDescent="0.25">
      <c r="A26" s="1" t="s">
        <v>73</v>
      </c>
      <c r="B26" s="2">
        <f>IF(ISNUMBER(Income!B8),Income!B8,"")</f>
        <v>7882</v>
      </c>
      <c r="C26" s="2">
        <f>IF(ISNUMBER(Income!C8),Income!C8,"")</f>
        <v>7560</v>
      </c>
      <c r="D26" s="2">
        <f>IF(ISNUMBER(Income!D8),Income!D8,"")</f>
        <v>7429</v>
      </c>
      <c r="E26" s="2">
        <f>IF(ISNUMBER(Income!E8),Income!E8,"")</f>
        <v>7307</v>
      </c>
      <c r="F26" s="2">
        <f>IF(ISNUMBER(Income!F8),Income!F8,"")</f>
        <v>7291</v>
      </c>
      <c r="G26" s="2">
        <f>IF(ISNUMBER(Income!G8),Income!G8,"")</f>
        <v>7209</v>
      </c>
      <c r="H26" s="2">
        <f>Income!H8</f>
        <v>6980.2067999999999</v>
      </c>
      <c r="I26" s="2">
        <f>Income!I8</f>
        <v>6840.602664</v>
      </c>
      <c r="J26" s="2">
        <f>Income!J8</f>
        <v>6703.7906107199997</v>
      </c>
      <c r="K26" s="2">
        <f>Income!K8</f>
        <v>6569.7147985055999</v>
      </c>
      <c r="L26" s="2">
        <f>Income!L8</f>
        <v>6438.3205025354882</v>
      </c>
      <c r="M26" s="2">
        <f>Income!M8</f>
        <v>6309.5540924847783</v>
      </c>
      <c r="N26" s="2">
        <f>Income!N8</f>
        <v>6183.3630106350829</v>
      </c>
      <c r="O26" s="2">
        <f>Income!O8</f>
        <v>6059.695750422381</v>
      </c>
      <c r="P26" s="2">
        <f>Income!P8</f>
        <v>5938.5018354139329</v>
      </c>
      <c r="Q26" s="2">
        <f>Income!Q8</f>
        <v>5819.731798705654</v>
      </c>
    </row>
    <row r="27" spans="1:17" x14ac:dyDescent="0.25">
      <c r="A27" s="1" t="s">
        <v>91</v>
      </c>
      <c r="B27" s="2">
        <f>IF(ISNUMBER(Income!B40),Income!B40,"")</f>
        <v>2009</v>
      </c>
      <c r="C27" s="2">
        <f>IF(ISNUMBER(Income!C40),Income!C40,"")</f>
        <v>1376</v>
      </c>
      <c r="D27" s="2">
        <f>IF(ISNUMBER(Income!D40),Income!D40,"")</f>
        <v>1285</v>
      </c>
      <c r="E27" s="2">
        <f>IF(ISNUMBER(Income!E40),Income!E40,"")</f>
        <v>1266</v>
      </c>
      <c r="F27" s="2">
        <f>IF(ISNUMBER(Income!F40),Income!F40,"")</f>
        <v>1126</v>
      </c>
      <c r="G27" s="2">
        <f>IF(ISNUMBER(Income!G40),Income!G40,"")</f>
        <v>1206</v>
      </c>
      <c r="H27" s="2">
        <f>Income!H40</f>
        <v>1209.5645634693087</v>
      </c>
      <c r="I27" s="2">
        <f>Income!I40</f>
        <v>1173.3286854207017</v>
      </c>
      <c r="J27" s="2">
        <f>Income!J40</f>
        <v>1139.3230982804689</v>
      </c>
      <c r="K27" s="2">
        <f>Income!K40</f>
        <v>1107.3149995620183</v>
      </c>
      <c r="L27" s="2">
        <f>Income!L40</f>
        <v>1077.0997674120422</v>
      </c>
      <c r="M27" s="2">
        <f>Income!M40</f>
        <v>1048.4974564249071</v>
      </c>
      <c r="N27" s="2">
        <f>Income!N40</f>
        <v>1021.349731112376</v>
      </c>
      <c r="O27" s="2">
        <f>Income!O40</f>
        <v>995.51718232910048</v>
      </c>
      <c r="P27" s="2">
        <f>Income!P40</f>
        <v>970.87697879161828</v>
      </c>
      <c r="Q27" s="2">
        <f>Income!Q40</f>
        <v>947.32081181124829</v>
      </c>
    </row>
    <row r="28" spans="1:17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1" t="s">
        <v>188</v>
      </c>
      <c r="B29" s="2">
        <f>IF(ISNUMBER(Assets!B6),Assets!B6,"")</f>
        <v>363</v>
      </c>
      <c r="C29" s="2">
        <f>IF(ISNUMBER(Assets!C6),Assets!C6,"")</f>
        <v>221</v>
      </c>
      <c r="D29" s="2">
        <f>IF(ISNUMBER(Assets!D6),Assets!D6,"")</f>
        <v>269</v>
      </c>
      <c r="E29" s="2">
        <f>IF(ISNUMBER(Assets!E6),Assets!E6,"")</f>
        <v>282</v>
      </c>
      <c r="F29" s="2">
        <f>IF(ISNUMBER(Assets!F6),Assets!F6,"")</f>
        <v>254</v>
      </c>
      <c r="G29" s="2">
        <f>IF(ISNUMBER(Assets!G6),Assets!G6,"")</f>
        <v>246</v>
      </c>
      <c r="H29" s="2">
        <f>Assets!H13+Assets!H21</f>
        <v>161.45204347950477</v>
      </c>
      <c r="I29" s="2">
        <f>Assets!I13+Assets!I21</f>
        <v>170.26758938913599</v>
      </c>
      <c r="J29" s="2">
        <f>Assets!J13+Assets!J21</f>
        <v>177.40125103317189</v>
      </c>
      <c r="K29" s="2">
        <f>Assets!K13+Assets!K21</f>
        <v>183.07486276534971</v>
      </c>
      <c r="L29" s="2">
        <f>Assets!L13+Assets!L21</f>
        <v>187.48229766877887</v>
      </c>
      <c r="M29" s="2">
        <f>Assets!M13+Assets!M21</f>
        <v>190.79296735429739</v>
      </c>
      <c r="N29" s="2">
        <f>Assets!N13+Assets!N21</f>
        <v>193.15488419124381</v>
      </c>
      <c r="O29" s="2">
        <f>Assets!O13+Assets!O21</f>
        <v>194.69734066844723</v>
      </c>
      <c r="P29" s="2">
        <f>Assets!P13+Assets!P21</f>
        <v>195.53325374597807</v>
      </c>
      <c r="Q29" s="2">
        <f>Assets!Q13+Assets!Q21</f>
        <v>195.7612160755958</v>
      </c>
    </row>
    <row r="30" spans="1:17" x14ac:dyDescent="0.25">
      <c r="A30" s="1" t="s">
        <v>189</v>
      </c>
      <c r="B30" s="2">
        <f>IF(ISNUMBER(Assets!B11),Assets!B11,"")</f>
        <v>270</v>
      </c>
      <c r="C30" s="2">
        <f>IF(ISNUMBER(Assets!C11),Assets!C11,"")</f>
        <v>328</v>
      </c>
      <c r="D30" s="2">
        <f>IF(ISNUMBER(Assets!D11),Assets!D11,"")</f>
        <v>298</v>
      </c>
      <c r="E30" s="2">
        <f>IF(ISNUMBER(Assets!E11),Assets!E11,"")</f>
        <v>226</v>
      </c>
      <c r="F30" s="2">
        <f>IF(ISNUMBER(Assets!F11),Assets!F11,"")</f>
        <v>237</v>
      </c>
      <c r="G30" s="2">
        <f>IF(ISNUMBER(Assets!G11),Assets!G11,"")</f>
        <v>242</v>
      </c>
      <c r="H30" s="2">
        <f>Assets!H11+Assets!H19</f>
        <v>234.31960682480235</v>
      </c>
      <c r="I30" s="2">
        <f>Assets!I11+Assets!I19</f>
        <v>229.63321468830631</v>
      </c>
      <c r="J30" s="2">
        <f>Assets!J11+Assets!J19</f>
        <v>225.04055039454016</v>
      </c>
      <c r="K30" s="2">
        <f>Assets!K11+Assets!K19</f>
        <v>220.53973938664936</v>
      </c>
      <c r="L30" s="2">
        <f>Assets!L11+Assets!L19</f>
        <v>216.12894459891641</v>
      </c>
      <c r="M30" s="2">
        <f>Assets!M11+Assets!M19</f>
        <v>211.80636570693807</v>
      </c>
      <c r="N30" s="2">
        <f>Assets!N11+Assets!N19</f>
        <v>207.5702383927993</v>
      </c>
      <c r="O30" s="2">
        <f>Assets!O11+Assets!O19</f>
        <v>203.41883362494332</v>
      </c>
      <c r="P30" s="2">
        <f>Assets!P11+Assets!P19</f>
        <v>199.35045695244443</v>
      </c>
      <c r="Q30" s="2">
        <f>Assets!Q11+Assets!Q19</f>
        <v>195.36344781339554</v>
      </c>
    </row>
    <row r="31" spans="1:17" x14ac:dyDescent="0.25">
      <c r="A31" s="1" t="s">
        <v>190</v>
      </c>
      <c r="B31" s="2" t="str">
        <f>IF(ISNUMBER(WorkingCapital!B25),WorkingCapital!B25,"")</f>
        <v/>
      </c>
      <c r="C31" s="2">
        <f>IF(ISNUMBER(WorkingCapital!C25),WorkingCapital!C25,"")</f>
        <v>-85</v>
      </c>
      <c r="D31" s="2">
        <f>IF(ISNUMBER(WorkingCapital!D25),WorkingCapital!D25,"")</f>
        <v>87</v>
      </c>
      <c r="E31" s="2">
        <f>IF(ISNUMBER(WorkingCapital!E25),WorkingCapital!E25,"")</f>
        <v>176</v>
      </c>
      <c r="F31" s="2">
        <f>IF(ISNUMBER(WorkingCapital!F25),WorkingCapital!F25,"")</f>
        <v>-163</v>
      </c>
      <c r="G31" s="2" t="str">
        <f>IF(ISNUMBER(WorkingCapital!G25),WorkingCapital!G25,"")</f>
        <v/>
      </c>
      <c r="H31" s="2">
        <f>WorkingCapital!H25</f>
        <v>41.707030045776037</v>
      </c>
      <c r="I31" s="2">
        <f>WorkingCapital!I25</f>
        <v>3.9311471227633774</v>
      </c>
      <c r="J31" s="2">
        <f>WorkingCapital!J25</f>
        <v>3.8525241803081371</v>
      </c>
      <c r="K31" s="2">
        <f>WorkingCapital!K25</f>
        <v>3.7754736967017379</v>
      </c>
      <c r="L31" s="2">
        <f>WorkingCapital!L25</f>
        <v>3.6999642227676759</v>
      </c>
      <c r="M31" s="2">
        <f>WorkingCapital!M25</f>
        <v>3.6259649383125634</v>
      </c>
      <c r="N31" s="2">
        <f>WorkingCapital!N25</f>
        <v>3.553445639545771</v>
      </c>
      <c r="O31" s="2">
        <f>WorkingCapital!O25</f>
        <v>3.4823767267555468</v>
      </c>
      <c r="P31" s="2">
        <f>WorkingCapital!P25</f>
        <v>3.4127291922200129</v>
      </c>
      <c r="Q31" s="2">
        <f>WorkingCapital!Q25</f>
        <v>3.344474608375549</v>
      </c>
    </row>
    <row r="32" spans="1:17" x14ac:dyDescent="0.25">
      <c r="A32" s="1" t="s">
        <v>191</v>
      </c>
      <c r="B32" s="2"/>
      <c r="C32" s="2"/>
      <c r="D32" s="2"/>
      <c r="E32" s="2"/>
      <c r="F32" s="2"/>
      <c r="G32" s="2"/>
      <c r="H32" s="2">
        <f>CashFlow!H35</f>
        <v>858.30895353944129</v>
      </c>
      <c r="I32" s="2">
        <f>CashFlow!I35</f>
        <v>880.44133603694183</v>
      </c>
      <c r="J32" s="2">
        <f>CashFlow!J35</f>
        <v>864.89472615662044</v>
      </c>
      <c r="K32" s="2">
        <f>CashFlow!K35</f>
        <v>849.40127136885383</v>
      </c>
      <c r="L32" s="2">
        <f>CashFlow!L35</f>
        <v>833.99213070992187</v>
      </c>
      <c r="M32" s="2">
        <f>CashFlow!M35</f>
        <v>818.6938122681122</v>
      </c>
      <c r="N32" s="2">
        <f>CashFlow!N35</f>
        <v>803.52876967359055</v>
      </c>
      <c r="O32" s="2">
        <f>CashFlow!O35</f>
        <v>788.51592372460368</v>
      </c>
      <c r="P32" s="2">
        <f>CashFlow!P35</f>
        <v>773.67111851403649</v>
      </c>
      <c r="Q32" s="2">
        <f>CashFlow!Q35</f>
        <v>759.00752024968972</v>
      </c>
    </row>
    <row r="33" spans="1:17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1" t="s">
        <v>192</v>
      </c>
      <c r="B34" s="2"/>
      <c r="C34" s="2"/>
      <c r="D34" s="2"/>
      <c r="E34" s="2"/>
      <c r="F34" s="2"/>
      <c r="G34" s="2"/>
      <c r="H34" s="2">
        <f>Income!H40-MAX(0,Income!H40)*Inputs!$B$52</f>
        <v>972.88354693051497</v>
      </c>
      <c r="I34" s="2">
        <f>Income!I40-MAX(0,Income!I40)*Inputs!$B$52</f>
        <v>943.73810845887544</v>
      </c>
      <c r="J34" s="2">
        <f>Income!J40-MAX(0,Income!J40)*Inputs!$B$52</f>
        <v>916.38654969829679</v>
      </c>
      <c r="K34" s="2">
        <f>Income!K40-MAX(0,Income!K40)*Inputs!$B$52</f>
        <v>890.64162168685516</v>
      </c>
      <c r="L34" s="2">
        <f>Income!L40-MAX(0,Income!L40)*Inputs!$B$52</f>
        <v>866.33874186282696</v>
      </c>
      <c r="M34" s="2">
        <f>Income!M40-MAX(0,Income!M40)*Inputs!$B$52</f>
        <v>843.33317555906535</v>
      </c>
      <c r="N34" s="2">
        <f>Income!N40-MAX(0,Income!N40)*Inputs!$B$52</f>
        <v>821.4975695146918</v>
      </c>
      <c r="O34" s="2">
        <f>Income!O40-MAX(0,Income!O40)*Inputs!$B$52</f>
        <v>800.71979340785526</v>
      </c>
      <c r="P34" s="2">
        <f>Income!P40-MAX(0,Income!P40)*Inputs!$B$52</f>
        <v>780.90105091272289</v>
      </c>
      <c r="Q34" s="1">
        <f>Income!Q40-MAX(0,Income!Q40)*Inputs!$B$52</f>
        <v>761.95422659586495</v>
      </c>
    </row>
    <row r="35" spans="1:17" x14ac:dyDescent="0.25">
      <c r="A35" s="1" t="s">
        <v>193</v>
      </c>
      <c r="B35" s="2">
        <f>IF(ISNUMBER(CashFlow!B33),CashFlow!B33,"")</f>
        <v>1233</v>
      </c>
      <c r="C35" s="2">
        <f>IF(ISNUMBER(CashFlow!C33),CashFlow!C33,"")</f>
        <v>816</v>
      </c>
      <c r="D35" s="2">
        <f>IF(ISNUMBER(CashFlow!D33),CashFlow!D33,"")</f>
        <v>668</v>
      </c>
      <c r="E35" s="2">
        <f>IF(ISNUMBER(CashFlow!E33),CashFlow!E33,"")</f>
        <v>724</v>
      </c>
      <c r="F35" s="2">
        <f>IF(ISNUMBER(CashFlow!F33),CashFlow!F33,"")</f>
        <v>875</v>
      </c>
      <c r="G35" s="2">
        <f>IF(ISNUMBER(CashFlow!G33),CashFlow!G33,"")</f>
        <v>1052</v>
      </c>
      <c r="H35" s="2">
        <f>CashFlow!H33</f>
        <v>691.63491024769269</v>
      </c>
      <c r="I35" s="2">
        <f>CashFlow!I33</f>
        <v>713.32189183965829</v>
      </c>
      <c r="J35" s="2">
        <f>CashFlow!J33</f>
        <v>697.33878907191297</v>
      </c>
      <c r="K35" s="2">
        <f>CashFlow!K33</f>
        <v>681.41757125447077</v>
      </c>
      <c r="L35" s="2">
        <f>CashFlow!L33</f>
        <v>665.58922282645665</v>
      </c>
      <c r="M35" s="2">
        <f>CashFlow!M33</f>
        <v>649.88008077094651</v>
      </c>
      <c r="N35" s="2">
        <f>CashFlow!N33</f>
        <v>634.31243103499855</v>
      </c>
      <c r="O35" s="2">
        <f>CashFlow!O33</f>
        <v>618.90503008741371</v>
      </c>
      <c r="P35" s="2">
        <f>CashFlow!P33</f>
        <v>603.67356097822073</v>
      </c>
      <c r="Q35" s="2">
        <f>CashFlow!Q33</f>
        <v>588.6310320932206</v>
      </c>
    </row>
    <row r="36" spans="1:17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s="30" customFormat="1" x14ac:dyDescent="0.25">
      <c r="A37" s="31" t="s">
        <v>7</v>
      </c>
      <c r="B37" s="24"/>
      <c r="C37" s="24"/>
      <c r="D37" s="24"/>
      <c r="E37" s="24"/>
      <c r="F37" s="24"/>
      <c r="G37" s="24"/>
      <c r="H37" s="24">
        <f t="shared" ref="H37:Q37" si="0">$B$6</f>
        <v>8.3680305979172365E-2</v>
      </c>
      <c r="I37" s="24">
        <f t="shared" si="0"/>
        <v>8.3680305979172365E-2</v>
      </c>
      <c r="J37" s="24">
        <f t="shared" si="0"/>
        <v>8.3680305979172365E-2</v>
      </c>
      <c r="K37" s="24">
        <f t="shared" si="0"/>
        <v>8.3680305979172365E-2</v>
      </c>
      <c r="L37" s="24">
        <f t="shared" si="0"/>
        <v>8.3680305979172365E-2</v>
      </c>
      <c r="M37" s="24">
        <f t="shared" si="0"/>
        <v>8.3680305979172365E-2</v>
      </c>
      <c r="N37" s="24">
        <f t="shared" si="0"/>
        <v>8.3680305979172365E-2</v>
      </c>
      <c r="O37" s="24">
        <f t="shared" si="0"/>
        <v>8.3680305979172365E-2</v>
      </c>
      <c r="P37" s="24">
        <f t="shared" si="0"/>
        <v>8.3680305979172365E-2</v>
      </c>
      <c r="Q37" s="24">
        <f t="shared" si="0"/>
        <v>8.3680305979172365E-2</v>
      </c>
    </row>
    <row r="38" spans="1:17" x14ac:dyDescent="0.25">
      <c r="A38" s="1" t="s">
        <v>194</v>
      </c>
      <c r="B38" s="2"/>
      <c r="C38" s="2"/>
      <c r="D38" s="2"/>
      <c r="E38" s="2"/>
      <c r="F38" s="2"/>
      <c r="G38" s="2"/>
      <c r="H38" s="2">
        <f>1/(1+$B$6)^DCF!H44</f>
        <v>0.8867305233944518</v>
      </c>
      <c r="I38" s="2">
        <f>1/(1+$B$6)^DCF!I44</f>
        <v>0.81843858711249828</v>
      </c>
      <c r="J38" s="2">
        <f>1/(1+$B$6)^DCF!J44</f>
        <v>0.75540618395599224</v>
      </c>
      <c r="K38" s="2">
        <f>1/(1+$B$6)^DCF!K44</f>
        <v>0.69722824869756161</v>
      </c>
      <c r="L38" s="2">
        <f>1/(1+$B$6)^DCF!L44</f>
        <v>0.64353091238420357</v>
      </c>
      <c r="M38" s="2">
        <f>1/(1+$B$6)^DCF!M44</f>
        <v>0.59396909974266476</v>
      </c>
      <c r="N38" s="2">
        <f>1/(1+$B$6)^DCF!N44</f>
        <v>0.54822431162169516</v>
      </c>
      <c r="O38" s="2">
        <f>1/(1+$B$6)^DCF!O44</f>
        <v>0.50600257822047312</v>
      </c>
      <c r="P38" s="2">
        <f>1/(1+$B$6)^DCF!P44</f>
        <v>0.46703256995002934</v>
      </c>
      <c r="Q38" s="2">
        <f>1/(1+$B$6)^DCF!Q44</f>
        <v>0.43106385378750262</v>
      </c>
    </row>
    <row r="39" spans="1:17" x14ac:dyDescent="0.25">
      <c r="A39" s="1" t="s">
        <v>195</v>
      </c>
      <c r="B39" s="2"/>
      <c r="C39" s="2"/>
      <c r="D39" s="2"/>
      <c r="E39" s="2"/>
      <c r="F39" s="2"/>
      <c r="G39" s="2"/>
      <c r="H39" s="2">
        <f>CashFlow!H35*H38</f>
        <v>761.088747606173</v>
      </c>
      <c r="I39" s="2">
        <f>CashFlow!I35*I38</f>
        <v>720.58716310151499</v>
      </c>
      <c r="J39" s="2">
        <f>CashFlow!J35*J38</f>
        <v>653.34682460963552</v>
      </c>
      <c r="K39" s="2">
        <f>CashFlow!K35*K38</f>
        <v>592.22656087798828</v>
      </c>
      <c r="L39" s="2">
        <f>CashFlow!L35*L38</f>
        <v>536.699716797002</v>
      </c>
      <c r="M39" s="2">
        <f>CashFlow!M35*M38</f>
        <v>486.27882663778081</v>
      </c>
      <c r="N39" s="2">
        <f>CashFlow!N35*N38</f>
        <v>440.51400662253184</v>
      </c>
      <c r="O39" s="2">
        <f>CashFlow!O35*O38</f>
        <v>398.99109037254738</v>
      </c>
      <c r="P39" s="2">
        <f>CashFlow!P35*P38</f>
        <v>361.32961077572418</v>
      </c>
      <c r="Q39" s="2">
        <f>CashFlow!Q35*Q38</f>
        <v>327.1807067325272</v>
      </c>
    </row>
    <row r="40" spans="1:17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1" t="s">
        <v>196</v>
      </c>
      <c r="B42" s="2"/>
      <c r="C42" s="2"/>
      <c r="D42" s="2"/>
      <c r="E42" s="2"/>
      <c r="F42" s="2"/>
      <c r="G42" s="2"/>
      <c r="H42" s="2">
        <f>Assets!H14+Assets!H22+WorkingCapital!H23</f>
        <v>1050.7667516307738</v>
      </c>
      <c r="I42" s="2">
        <f>Assets!I14+Assets!I22+WorkingCapital!I23</f>
        <v>1114.0635240527074</v>
      </c>
      <c r="J42" s="2">
        <f>Assets!J14+Assets!J22+WorkingCapital!J23</f>
        <v>1165.5553475943836</v>
      </c>
      <c r="K42" s="2">
        <f>Assets!K14+Assets!K22+WorkingCapital!K23</f>
        <v>1206.7956979123851</v>
      </c>
      <c r="L42" s="2">
        <f>Assets!L14+Assets!L22+WorkingCapital!L23</f>
        <v>1239.1423090652902</v>
      </c>
      <c r="M42" s="2">
        <f>Assets!M14+Assets!M22+WorkingCapital!M23</f>
        <v>1263.7816723562435</v>
      </c>
      <c r="N42" s="2">
        <f>Assets!N14+Assets!N22+WorkingCapital!N23</f>
        <v>1281.7504721973446</v>
      </c>
      <c r="O42" s="2">
        <f>Assets!O14+Assets!O22+WorkingCapital!O23</f>
        <v>1293.9543418805963</v>
      </c>
      <c r="P42" s="2">
        <f>Assets!P14+Assets!P22+WorkingCapital!P23</f>
        <v>1301.1842742792826</v>
      </c>
      <c r="Q42" s="1">
        <f>Assets!Q14+Assets!Q22+WorkingCapital!Q23</f>
        <v>1304.1309806254581</v>
      </c>
    </row>
    <row r="43" spans="1:17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s="37" customFormat="1" x14ac:dyDescent="0.25">
      <c r="A44" s="35" t="s">
        <v>197</v>
      </c>
      <c r="B44" s="36"/>
      <c r="C44" s="36"/>
      <c r="D44" s="36"/>
      <c r="E44" s="36"/>
      <c r="F44" s="36"/>
      <c r="G44" s="36"/>
      <c r="H44" s="35">
        <f>1.4958904109589</f>
        <v>1.4958904109589</v>
      </c>
      <c r="I44" s="35">
        <f>2.4931506849315</f>
        <v>2.4931506849314999</v>
      </c>
      <c r="J44" s="35">
        <f>3.4904109589041</f>
        <v>3.4904109589040999</v>
      </c>
      <c r="K44" s="35">
        <f>4.48767123287671</f>
        <v>4.4876712328767097</v>
      </c>
      <c r="L44" s="35">
        <f>5.48493150684931</f>
        <v>5.4849315068493096</v>
      </c>
      <c r="M44" s="35">
        <f>6.48219178082191</f>
        <v>6.4821917808219096</v>
      </c>
      <c r="N44" s="35">
        <f>7.47945205479452</f>
        <v>7.4794520547945202</v>
      </c>
      <c r="O44" s="35">
        <f>8.47671232876712</f>
        <v>8.4767123287671193</v>
      </c>
      <c r="P44" s="35">
        <f>9.47397260273972</f>
        <v>9.4739726027397193</v>
      </c>
      <c r="Q44" s="35">
        <f>10.4712328767123</f>
        <v>10.4712328767123</v>
      </c>
    </row>
  </sheetData>
  <mergeCells count="2">
    <mergeCell ref="A2:Q2"/>
    <mergeCell ref="A1:Q1"/>
  </mergeCells>
  <pageMargins left="0.7" right="0.7" top="0.75" bottom="0.75" header="0.3" footer="0.3"/>
  <pageSetup paperSize="9" scale="3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59.7109375" customWidth="1"/>
    <col min="2" max="12" width="17.7109375" customWidth="1"/>
  </cols>
  <sheetData>
    <row r="1" spans="1:12" ht="30" customHeight="1" x14ac:dyDescent="0.25">
      <c r="A1" s="42" t="s">
        <v>198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2.1" customHeight="1" x14ac:dyDescent="0.25">
      <c r="A2" s="41" t="s">
        <v>199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42" customHeight="1" x14ac:dyDescent="0.25">
      <c r="A3" s="3" t="s">
        <v>200</v>
      </c>
      <c r="B3" s="3" t="s">
        <v>201</v>
      </c>
      <c r="C3" s="3" t="s">
        <v>202</v>
      </c>
      <c r="D3" s="3" t="s">
        <v>203</v>
      </c>
    </row>
    <row r="4" spans="1:12" x14ac:dyDescent="0.25">
      <c r="A4" s="2">
        <f>(Inputs!$B$62+(-0.2))</f>
        <v>1.2</v>
      </c>
      <c r="B4" s="2">
        <f>IF(AND(Checks!B9="PASS",((Inputs!$B$60+(Inputs!$B$62+(-0.2))*Inputs!$B$61)*(1-DCF!B5)+Inputs!$B$63*(1-Inputs!$B$52)*DCF!B5)&gt;(Inputs!$B$64+(-0.005))),(Stub!B52/(1+((Inputs!$B$60+(Inputs!$B$62+(-0.2))*Inputs!$B$61)*(1-DCF!B5)+Inputs!$B$63*(1-Inputs!$B$52)*DCF!B5))^Stub!B5+CashFlow!H35/(1+((Inputs!$B$60+(Inputs!$B$62+(-0.2))*Inputs!$B$61)*(1-DCF!B5)+Inputs!$B$63*(1-Inputs!$B$52)*DCF!B5))^DCF!H44+CashFlow!I35/(1+((Inputs!$B$60+(Inputs!$B$62+(-0.2))*Inputs!$B$61)*(1-DCF!B5)+Inputs!$B$63*(1-Inputs!$B$52)*DCF!B5))^DCF!I44+CashFlow!J35/(1+((Inputs!$B$60+(Inputs!$B$62+(-0.2))*Inputs!$B$61)*(1-DCF!B5)+Inputs!$B$63*(1-Inputs!$B$52)*DCF!B5))^DCF!J44+CashFlow!K35/(1+((Inputs!$B$60+(Inputs!$B$62+(-0.2))*Inputs!$B$61)*(1-DCF!B5)+Inputs!$B$63*(1-Inputs!$B$52)*DCF!B5))^DCF!K44+CashFlow!L35/(1+((Inputs!$B$60+(Inputs!$B$62+(-0.2))*Inputs!$B$61)*(1-DCF!B5)+Inputs!$B$63*(1-Inputs!$B$52)*DCF!B5))^DCF!L44+CashFlow!M35/(1+((Inputs!$B$60+(Inputs!$B$62+(-0.2))*Inputs!$B$61)*(1-DCF!B5)+Inputs!$B$63*(1-Inputs!$B$52)*DCF!B5))^DCF!M44+CashFlow!N35/(1+((Inputs!$B$60+(Inputs!$B$62+(-0.2))*Inputs!$B$61)*(1-DCF!B5)+Inputs!$B$63*(1-Inputs!$B$52)*DCF!B5))^DCF!N44+CashFlow!O35/(1+((Inputs!$B$60+(Inputs!$B$62+(-0.2))*Inputs!$B$61)*(1-DCF!B5)+Inputs!$B$63*(1-Inputs!$B$52)*DCF!B5))^DCF!O44+CashFlow!P35/(1+((Inputs!$B$60+(Inputs!$B$62+(-0.2))*Inputs!$B$61)*(1-DCF!B5)+Inputs!$B$63*(1-Inputs!$B$52)*DCF!B5))^DCF!P44+CashFlow!Q35/(1+((Inputs!$B$60+(Inputs!$B$62+(-0.2))*Inputs!$B$61)*(1-DCF!B5)+Inputs!$B$63*(1-Inputs!$B$52)*DCF!B5))^DCF!Q44+(DCF!Q34*(1+(Inputs!$B$64+(-0.005)))-DCF!Q42*(Inputs!$B$64+(-0.005)))/(((Inputs!$B$60+(Inputs!$B$62+(-0.2))*Inputs!$B$61)*(1-DCF!B5)+Inputs!$B$63*(1-Inputs!$B$52)*DCF!B5)-(Inputs!$B$64+(-0.005)))/(1+((Inputs!$B$60+(Inputs!$B$62+(-0.2))*Inputs!$B$61)*(1-DCF!B5)+Inputs!$B$63*(1-Inputs!$B$52)*DCF!B5))^DCF!Q44+DCF!B15-DCF!B16-DCF!B21)/DCF!B18,"")</f>
        <v>42.111148812849116</v>
      </c>
      <c r="C4" s="2">
        <f>IF(AND(Checks!B9="PASS",((Inputs!$B$60+(Inputs!$B$62+(-0.2))*Inputs!$B$61)*(1-DCF!B5)+Inputs!$B$63*(1-Inputs!$B$52)*DCF!B5)&gt;(Inputs!$B$64+(0))),(Stub!B52/(1+((Inputs!$B$60+(Inputs!$B$62+(-0.2))*Inputs!$B$61)*(1-DCF!B5)+Inputs!$B$63*(1-Inputs!$B$52)*DCF!B5))^Stub!B5+CashFlow!H35/(1+((Inputs!$B$60+(Inputs!$B$62+(-0.2))*Inputs!$B$61)*(1-DCF!B5)+Inputs!$B$63*(1-Inputs!$B$52)*DCF!B5))^DCF!H44+CashFlow!I35/(1+((Inputs!$B$60+(Inputs!$B$62+(-0.2))*Inputs!$B$61)*(1-DCF!B5)+Inputs!$B$63*(1-Inputs!$B$52)*DCF!B5))^DCF!I44+CashFlow!J35/(1+((Inputs!$B$60+(Inputs!$B$62+(-0.2))*Inputs!$B$61)*(1-DCF!B5)+Inputs!$B$63*(1-Inputs!$B$52)*DCF!B5))^DCF!J44+CashFlow!K35/(1+((Inputs!$B$60+(Inputs!$B$62+(-0.2))*Inputs!$B$61)*(1-DCF!B5)+Inputs!$B$63*(1-Inputs!$B$52)*DCF!B5))^DCF!K44+CashFlow!L35/(1+((Inputs!$B$60+(Inputs!$B$62+(-0.2))*Inputs!$B$61)*(1-DCF!B5)+Inputs!$B$63*(1-Inputs!$B$52)*DCF!B5))^DCF!L44+CashFlow!M35/(1+((Inputs!$B$60+(Inputs!$B$62+(-0.2))*Inputs!$B$61)*(1-DCF!B5)+Inputs!$B$63*(1-Inputs!$B$52)*DCF!B5))^DCF!M44+CashFlow!N35/(1+((Inputs!$B$60+(Inputs!$B$62+(-0.2))*Inputs!$B$61)*(1-DCF!B5)+Inputs!$B$63*(1-Inputs!$B$52)*DCF!B5))^DCF!N44+CashFlow!O35/(1+((Inputs!$B$60+(Inputs!$B$62+(-0.2))*Inputs!$B$61)*(1-DCF!B5)+Inputs!$B$63*(1-Inputs!$B$52)*DCF!B5))^DCF!O44+CashFlow!P35/(1+((Inputs!$B$60+(Inputs!$B$62+(-0.2))*Inputs!$B$61)*(1-DCF!B5)+Inputs!$B$63*(1-Inputs!$B$52)*DCF!B5))^DCF!P44+CashFlow!Q35/(1+((Inputs!$B$60+(Inputs!$B$62+(-0.2))*Inputs!$B$61)*(1-DCF!B5)+Inputs!$B$63*(1-Inputs!$B$52)*DCF!B5))^DCF!Q44+(DCF!Q34*(1+(Inputs!$B$64+(0)))-DCF!Q42*(Inputs!$B$64+(0)))/(((Inputs!$B$60+(Inputs!$B$62+(-0.2))*Inputs!$B$61)*(1-DCF!B5)+Inputs!$B$63*(1-Inputs!$B$52)*DCF!B5)-(Inputs!$B$64+(0)))/(1+((Inputs!$B$60+(Inputs!$B$62+(-0.2))*Inputs!$B$61)*(1-DCF!B5)+Inputs!$B$63*(1-Inputs!$B$52)*DCF!B5))^DCF!Q44+DCF!B15-DCF!B16-DCF!B21)/DCF!B18,"")</f>
        <v>44.283005927256504</v>
      </c>
      <c r="D4" s="2">
        <f>IF(AND(Checks!B9="PASS",((Inputs!$B$60+(Inputs!$B$62+(-0.2))*Inputs!$B$61)*(1-DCF!B5)+Inputs!$B$63*(1-Inputs!$B$52)*DCF!B5)&gt;(Inputs!$B$64+(0.005))),(Stub!B52/(1+((Inputs!$B$60+(Inputs!$B$62+(-0.2))*Inputs!$B$61)*(1-DCF!B5)+Inputs!$B$63*(1-Inputs!$B$52)*DCF!B5))^Stub!B5+CashFlow!H35/(1+((Inputs!$B$60+(Inputs!$B$62+(-0.2))*Inputs!$B$61)*(1-DCF!B5)+Inputs!$B$63*(1-Inputs!$B$52)*DCF!B5))^DCF!H44+CashFlow!I35/(1+((Inputs!$B$60+(Inputs!$B$62+(-0.2))*Inputs!$B$61)*(1-DCF!B5)+Inputs!$B$63*(1-Inputs!$B$52)*DCF!B5))^DCF!I44+CashFlow!J35/(1+((Inputs!$B$60+(Inputs!$B$62+(-0.2))*Inputs!$B$61)*(1-DCF!B5)+Inputs!$B$63*(1-Inputs!$B$52)*DCF!B5))^DCF!J44+CashFlow!K35/(1+((Inputs!$B$60+(Inputs!$B$62+(-0.2))*Inputs!$B$61)*(1-DCF!B5)+Inputs!$B$63*(1-Inputs!$B$52)*DCF!B5))^DCF!K44+CashFlow!L35/(1+((Inputs!$B$60+(Inputs!$B$62+(-0.2))*Inputs!$B$61)*(1-DCF!B5)+Inputs!$B$63*(1-Inputs!$B$52)*DCF!B5))^DCF!L44+CashFlow!M35/(1+((Inputs!$B$60+(Inputs!$B$62+(-0.2))*Inputs!$B$61)*(1-DCF!B5)+Inputs!$B$63*(1-Inputs!$B$52)*DCF!B5))^DCF!M44+CashFlow!N35/(1+((Inputs!$B$60+(Inputs!$B$62+(-0.2))*Inputs!$B$61)*(1-DCF!B5)+Inputs!$B$63*(1-Inputs!$B$52)*DCF!B5))^DCF!N44+CashFlow!O35/(1+((Inputs!$B$60+(Inputs!$B$62+(-0.2))*Inputs!$B$61)*(1-DCF!B5)+Inputs!$B$63*(1-Inputs!$B$52)*DCF!B5))^DCF!O44+CashFlow!P35/(1+((Inputs!$B$60+(Inputs!$B$62+(-0.2))*Inputs!$B$61)*(1-DCF!B5)+Inputs!$B$63*(1-Inputs!$B$52)*DCF!B5))^DCF!P44+CashFlow!Q35/(1+((Inputs!$B$60+(Inputs!$B$62+(-0.2))*Inputs!$B$61)*(1-DCF!B5)+Inputs!$B$63*(1-Inputs!$B$52)*DCF!B5))^DCF!Q44+(DCF!Q34*(1+(Inputs!$B$64+(0.005)))-DCF!Q42*(Inputs!$B$64+(0.005)))/(((Inputs!$B$60+(Inputs!$B$62+(-0.2))*Inputs!$B$61)*(1-DCF!B5)+Inputs!$B$63*(1-Inputs!$B$52)*DCF!B5)-(Inputs!$B$64+(0.005)))/(1+((Inputs!$B$60+(Inputs!$B$62+(-0.2))*Inputs!$B$61)*(1-DCF!B5)+Inputs!$B$63*(1-Inputs!$B$52)*DCF!B5))^DCF!Q44+DCF!B15-DCF!B16-DCF!B21)/DCF!B18,"")</f>
        <v>46.862008491138212</v>
      </c>
    </row>
    <row r="5" spans="1:12" x14ac:dyDescent="0.25">
      <c r="A5" s="2">
        <f>(Inputs!$B$62+(0))</f>
        <v>1.4</v>
      </c>
      <c r="B5" s="2">
        <f>IF(AND(Checks!B9="PASS",((Inputs!$B$60+(Inputs!$B$62+(0))*Inputs!$B$61)*(1-DCF!B5)+Inputs!$B$63*(1-Inputs!$B$52)*DCF!B5)&gt;(Inputs!$B$64+(-0.005))),(Stub!B52/(1+((Inputs!$B$60+(Inputs!$B$62+(0))*Inputs!$B$61)*(1-DCF!B5)+Inputs!$B$63*(1-Inputs!$B$52)*DCF!B5))^Stub!B5+CashFlow!H35/(1+((Inputs!$B$60+(Inputs!$B$62+(0))*Inputs!$B$61)*(1-DCF!B5)+Inputs!$B$63*(1-Inputs!$B$52)*DCF!B5))^DCF!H44+CashFlow!I35/(1+((Inputs!$B$60+(Inputs!$B$62+(0))*Inputs!$B$61)*(1-DCF!B5)+Inputs!$B$63*(1-Inputs!$B$52)*DCF!B5))^DCF!I44+CashFlow!J35/(1+((Inputs!$B$60+(Inputs!$B$62+(0))*Inputs!$B$61)*(1-DCF!B5)+Inputs!$B$63*(1-Inputs!$B$52)*DCF!B5))^DCF!J44+CashFlow!K35/(1+((Inputs!$B$60+(Inputs!$B$62+(0))*Inputs!$B$61)*(1-DCF!B5)+Inputs!$B$63*(1-Inputs!$B$52)*DCF!B5))^DCF!K44+CashFlow!L35/(1+((Inputs!$B$60+(Inputs!$B$62+(0))*Inputs!$B$61)*(1-DCF!B5)+Inputs!$B$63*(1-Inputs!$B$52)*DCF!B5))^DCF!L44+CashFlow!M35/(1+((Inputs!$B$60+(Inputs!$B$62+(0))*Inputs!$B$61)*(1-DCF!B5)+Inputs!$B$63*(1-Inputs!$B$52)*DCF!B5))^DCF!M44+CashFlow!N35/(1+((Inputs!$B$60+(Inputs!$B$62+(0))*Inputs!$B$61)*(1-DCF!B5)+Inputs!$B$63*(1-Inputs!$B$52)*DCF!B5))^DCF!N44+CashFlow!O35/(1+((Inputs!$B$60+(Inputs!$B$62+(0))*Inputs!$B$61)*(1-DCF!B5)+Inputs!$B$63*(1-Inputs!$B$52)*DCF!B5))^DCF!O44+CashFlow!P35/(1+((Inputs!$B$60+(Inputs!$B$62+(0))*Inputs!$B$61)*(1-DCF!B5)+Inputs!$B$63*(1-Inputs!$B$52)*DCF!B5))^DCF!P44+CashFlow!Q35/(1+((Inputs!$B$60+(Inputs!$B$62+(0))*Inputs!$B$61)*(1-DCF!B5)+Inputs!$B$63*(1-Inputs!$B$52)*DCF!B5))^DCF!Q44+(DCF!Q34*(1+(Inputs!$B$64+(-0.005)))-DCF!Q42*(Inputs!$B$64+(-0.005)))/(((Inputs!$B$60+(Inputs!$B$62+(0))*Inputs!$B$61)*(1-DCF!B5)+Inputs!$B$63*(1-Inputs!$B$52)*DCF!B5)-(Inputs!$B$64+(-0.005)))/(1+((Inputs!$B$60+(Inputs!$B$62+(0))*Inputs!$B$61)*(1-DCF!B5)+Inputs!$B$63*(1-Inputs!$B$52)*DCF!B5))^DCF!Q44+DCF!B15-DCF!B16-DCF!B21)/DCF!B18,"")</f>
        <v>38.128814774264804</v>
      </c>
      <c r="C5" s="2">
        <f>IF(AND(Checks!B9="PASS",((Inputs!$B$60+(Inputs!$B$62+(0))*Inputs!$B$61)*(1-DCF!B5)+Inputs!$B$63*(1-Inputs!$B$52)*DCF!B5)&gt;(Inputs!$B$64+(0))),(Stub!B52/(1+((Inputs!$B$60+(Inputs!$B$62+(0))*Inputs!$B$61)*(1-DCF!B5)+Inputs!$B$63*(1-Inputs!$B$52)*DCF!B5))^Stub!B5+CashFlow!H35/(1+((Inputs!$B$60+(Inputs!$B$62+(0))*Inputs!$B$61)*(1-DCF!B5)+Inputs!$B$63*(1-Inputs!$B$52)*DCF!B5))^DCF!H44+CashFlow!I35/(1+((Inputs!$B$60+(Inputs!$B$62+(0))*Inputs!$B$61)*(1-DCF!B5)+Inputs!$B$63*(1-Inputs!$B$52)*DCF!B5))^DCF!I44+CashFlow!J35/(1+((Inputs!$B$60+(Inputs!$B$62+(0))*Inputs!$B$61)*(1-DCF!B5)+Inputs!$B$63*(1-Inputs!$B$52)*DCF!B5))^DCF!J44+CashFlow!K35/(1+((Inputs!$B$60+(Inputs!$B$62+(0))*Inputs!$B$61)*(1-DCF!B5)+Inputs!$B$63*(1-Inputs!$B$52)*DCF!B5))^DCF!K44+CashFlow!L35/(1+((Inputs!$B$60+(Inputs!$B$62+(0))*Inputs!$B$61)*(1-DCF!B5)+Inputs!$B$63*(1-Inputs!$B$52)*DCF!B5))^DCF!L44+CashFlow!M35/(1+((Inputs!$B$60+(Inputs!$B$62+(0))*Inputs!$B$61)*(1-DCF!B5)+Inputs!$B$63*(1-Inputs!$B$52)*DCF!B5))^DCF!M44+CashFlow!N35/(1+((Inputs!$B$60+(Inputs!$B$62+(0))*Inputs!$B$61)*(1-DCF!B5)+Inputs!$B$63*(1-Inputs!$B$52)*DCF!B5))^DCF!N44+CashFlow!O35/(1+((Inputs!$B$60+(Inputs!$B$62+(0))*Inputs!$B$61)*(1-DCF!B5)+Inputs!$B$63*(1-Inputs!$B$52)*DCF!B5))^DCF!O44+CashFlow!P35/(1+((Inputs!$B$60+(Inputs!$B$62+(0))*Inputs!$B$61)*(1-DCF!B5)+Inputs!$B$63*(1-Inputs!$B$52)*DCF!B5))^DCF!P44+CashFlow!Q35/(1+((Inputs!$B$60+(Inputs!$B$62+(0))*Inputs!$B$61)*(1-DCF!B5)+Inputs!$B$63*(1-Inputs!$B$52)*DCF!B5))^DCF!Q44+(DCF!Q34*(1+(Inputs!$B$64+(0)))-DCF!Q42*(Inputs!$B$64+(0)))/(((Inputs!$B$60+(Inputs!$B$62+(0))*Inputs!$B$61)*(1-DCF!B5)+Inputs!$B$63*(1-Inputs!$B$52)*DCF!B5)-(Inputs!$B$64+(0)))/(1+((Inputs!$B$60+(Inputs!$B$62+(0))*Inputs!$B$61)*(1-DCF!B5)+Inputs!$B$63*(1-Inputs!$B$52)*DCF!B5))^DCF!Q44+DCF!B15-DCF!B16-DCF!B21)/DCF!B18,"")</f>
        <v>39.864567165570811</v>
      </c>
      <c r="D5" s="2">
        <f>IF(AND(Checks!B9="PASS",((Inputs!$B$60+(Inputs!$B$62+(0))*Inputs!$B$61)*(1-DCF!B5)+Inputs!$B$63*(1-Inputs!$B$52)*DCF!B5)&gt;(Inputs!$B$64+(0.005))),(Stub!B52/(1+((Inputs!$B$60+(Inputs!$B$62+(0))*Inputs!$B$61)*(1-DCF!B5)+Inputs!$B$63*(1-Inputs!$B$52)*DCF!B5))^Stub!B5+CashFlow!H35/(1+((Inputs!$B$60+(Inputs!$B$62+(0))*Inputs!$B$61)*(1-DCF!B5)+Inputs!$B$63*(1-Inputs!$B$52)*DCF!B5))^DCF!H44+CashFlow!I35/(1+((Inputs!$B$60+(Inputs!$B$62+(0))*Inputs!$B$61)*(1-DCF!B5)+Inputs!$B$63*(1-Inputs!$B$52)*DCF!B5))^DCF!I44+CashFlow!J35/(1+((Inputs!$B$60+(Inputs!$B$62+(0))*Inputs!$B$61)*(1-DCF!B5)+Inputs!$B$63*(1-Inputs!$B$52)*DCF!B5))^DCF!J44+CashFlow!K35/(1+((Inputs!$B$60+(Inputs!$B$62+(0))*Inputs!$B$61)*(1-DCF!B5)+Inputs!$B$63*(1-Inputs!$B$52)*DCF!B5))^DCF!K44+CashFlow!L35/(1+((Inputs!$B$60+(Inputs!$B$62+(0))*Inputs!$B$61)*(1-DCF!B5)+Inputs!$B$63*(1-Inputs!$B$52)*DCF!B5))^DCF!L44+CashFlow!M35/(1+((Inputs!$B$60+(Inputs!$B$62+(0))*Inputs!$B$61)*(1-DCF!B5)+Inputs!$B$63*(1-Inputs!$B$52)*DCF!B5))^DCF!M44+CashFlow!N35/(1+((Inputs!$B$60+(Inputs!$B$62+(0))*Inputs!$B$61)*(1-DCF!B5)+Inputs!$B$63*(1-Inputs!$B$52)*DCF!B5))^DCF!N44+CashFlow!O35/(1+((Inputs!$B$60+(Inputs!$B$62+(0))*Inputs!$B$61)*(1-DCF!B5)+Inputs!$B$63*(1-Inputs!$B$52)*DCF!B5))^DCF!O44+CashFlow!P35/(1+((Inputs!$B$60+(Inputs!$B$62+(0))*Inputs!$B$61)*(1-DCF!B5)+Inputs!$B$63*(1-Inputs!$B$52)*DCF!B5))^DCF!P44+CashFlow!Q35/(1+((Inputs!$B$60+(Inputs!$B$62+(0))*Inputs!$B$61)*(1-DCF!B5)+Inputs!$B$63*(1-Inputs!$B$52)*DCF!B5))^DCF!Q44+(DCF!Q34*(1+(Inputs!$B$64+(0.005)))-DCF!Q42*(Inputs!$B$64+(0.005)))/(((Inputs!$B$60+(Inputs!$B$62+(0))*Inputs!$B$61)*(1-DCF!B5)+Inputs!$B$63*(1-Inputs!$B$52)*DCF!B5)-(Inputs!$B$64+(0.005)))/(1+((Inputs!$B$60+(Inputs!$B$62+(0))*Inputs!$B$61)*(1-DCF!B5)+Inputs!$B$63*(1-Inputs!$B$52)*DCF!B5))^DCF!Q44+DCF!B15-DCF!B16-DCF!B21)/DCF!B18,"")</f>
        <v>41.896117672163065</v>
      </c>
    </row>
    <row r="6" spans="1:12" x14ac:dyDescent="0.25">
      <c r="A6" s="2">
        <f>(Inputs!$B$62+(0.2))</f>
        <v>1.5999999999999999</v>
      </c>
      <c r="B6" s="2">
        <f>IF(AND(Checks!B9="PASS",((Inputs!$B$60+(Inputs!$B$62+(0.2))*Inputs!$B$61)*(1-DCF!B5)+Inputs!$B$63*(1-Inputs!$B$52)*DCF!B5)&gt;(Inputs!$B$64+(-0.005))),(Stub!B52/(1+((Inputs!$B$60+(Inputs!$B$62+(0.2))*Inputs!$B$61)*(1-DCF!B5)+Inputs!$B$63*(1-Inputs!$B$52)*DCF!B5))^Stub!B5+CashFlow!H35/(1+((Inputs!$B$60+(Inputs!$B$62+(0.2))*Inputs!$B$61)*(1-DCF!B5)+Inputs!$B$63*(1-Inputs!$B$52)*DCF!B5))^DCF!H44+CashFlow!I35/(1+((Inputs!$B$60+(Inputs!$B$62+(0.2))*Inputs!$B$61)*(1-DCF!B5)+Inputs!$B$63*(1-Inputs!$B$52)*DCF!B5))^DCF!I44+CashFlow!J35/(1+((Inputs!$B$60+(Inputs!$B$62+(0.2))*Inputs!$B$61)*(1-DCF!B5)+Inputs!$B$63*(1-Inputs!$B$52)*DCF!B5))^DCF!J44+CashFlow!K35/(1+((Inputs!$B$60+(Inputs!$B$62+(0.2))*Inputs!$B$61)*(1-DCF!B5)+Inputs!$B$63*(1-Inputs!$B$52)*DCF!B5))^DCF!K44+CashFlow!L35/(1+((Inputs!$B$60+(Inputs!$B$62+(0.2))*Inputs!$B$61)*(1-DCF!B5)+Inputs!$B$63*(1-Inputs!$B$52)*DCF!B5))^DCF!L44+CashFlow!M35/(1+((Inputs!$B$60+(Inputs!$B$62+(0.2))*Inputs!$B$61)*(1-DCF!B5)+Inputs!$B$63*(1-Inputs!$B$52)*DCF!B5))^DCF!M44+CashFlow!N35/(1+((Inputs!$B$60+(Inputs!$B$62+(0.2))*Inputs!$B$61)*(1-DCF!B5)+Inputs!$B$63*(1-Inputs!$B$52)*DCF!B5))^DCF!N44+CashFlow!O35/(1+((Inputs!$B$60+(Inputs!$B$62+(0.2))*Inputs!$B$61)*(1-DCF!B5)+Inputs!$B$63*(1-Inputs!$B$52)*DCF!B5))^DCF!O44+CashFlow!P35/(1+((Inputs!$B$60+(Inputs!$B$62+(0.2))*Inputs!$B$61)*(1-DCF!B5)+Inputs!$B$63*(1-Inputs!$B$52)*DCF!B5))^DCF!P44+CashFlow!Q35/(1+((Inputs!$B$60+(Inputs!$B$62+(0.2))*Inputs!$B$61)*(1-DCF!B5)+Inputs!$B$63*(1-Inputs!$B$52)*DCF!B5))^DCF!Q44+(DCF!Q34*(1+(Inputs!$B$64+(-0.005)))-DCF!Q42*(Inputs!$B$64+(-0.005)))/(((Inputs!$B$60+(Inputs!$B$62+(0.2))*Inputs!$B$61)*(1-DCF!B5)+Inputs!$B$63*(1-Inputs!$B$52)*DCF!B5)-(Inputs!$B$64+(-0.005)))/(1+((Inputs!$B$60+(Inputs!$B$62+(0.2))*Inputs!$B$61)*(1-DCF!B5)+Inputs!$B$63*(1-Inputs!$B$52)*DCF!B5))^DCF!Q44+DCF!B15-DCF!B16-DCF!B21)/DCF!B18,"")</f>
        <v>34.710113216372349</v>
      </c>
      <c r="C6" s="2">
        <f>IF(AND(Checks!B9="PASS",((Inputs!$B$60+(Inputs!$B$62+(0.2))*Inputs!$B$61)*(1-DCF!B5)+Inputs!$B$63*(1-Inputs!$B$52)*DCF!B5)&gt;(Inputs!$B$64+(0))),(Stub!B52/(1+((Inputs!$B$60+(Inputs!$B$62+(0.2))*Inputs!$B$61)*(1-DCF!B5)+Inputs!$B$63*(1-Inputs!$B$52)*DCF!B5))^Stub!B5+CashFlow!H35/(1+((Inputs!$B$60+(Inputs!$B$62+(0.2))*Inputs!$B$61)*(1-DCF!B5)+Inputs!$B$63*(1-Inputs!$B$52)*DCF!B5))^DCF!H44+CashFlow!I35/(1+((Inputs!$B$60+(Inputs!$B$62+(0.2))*Inputs!$B$61)*(1-DCF!B5)+Inputs!$B$63*(1-Inputs!$B$52)*DCF!B5))^DCF!I44+CashFlow!J35/(1+((Inputs!$B$60+(Inputs!$B$62+(0.2))*Inputs!$B$61)*(1-DCF!B5)+Inputs!$B$63*(1-Inputs!$B$52)*DCF!B5))^DCF!J44+CashFlow!K35/(1+((Inputs!$B$60+(Inputs!$B$62+(0.2))*Inputs!$B$61)*(1-DCF!B5)+Inputs!$B$63*(1-Inputs!$B$52)*DCF!B5))^DCF!K44+CashFlow!L35/(1+((Inputs!$B$60+(Inputs!$B$62+(0.2))*Inputs!$B$61)*(1-DCF!B5)+Inputs!$B$63*(1-Inputs!$B$52)*DCF!B5))^DCF!L44+CashFlow!M35/(1+((Inputs!$B$60+(Inputs!$B$62+(0.2))*Inputs!$B$61)*(1-DCF!B5)+Inputs!$B$63*(1-Inputs!$B$52)*DCF!B5))^DCF!M44+CashFlow!N35/(1+((Inputs!$B$60+(Inputs!$B$62+(0.2))*Inputs!$B$61)*(1-DCF!B5)+Inputs!$B$63*(1-Inputs!$B$52)*DCF!B5))^DCF!N44+CashFlow!O35/(1+((Inputs!$B$60+(Inputs!$B$62+(0.2))*Inputs!$B$61)*(1-DCF!B5)+Inputs!$B$63*(1-Inputs!$B$52)*DCF!B5))^DCF!O44+CashFlow!P35/(1+((Inputs!$B$60+(Inputs!$B$62+(0.2))*Inputs!$B$61)*(1-DCF!B5)+Inputs!$B$63*(1-Inputs!$B$52)*DCF!B5))^DCF!P44+CashFlow!Q35/(1+((Inputs!$B$60+(Inputs!$B$62+(0.2))*Inputs!$B$61)*(1-DCF!B5)+Inputs!$B$63*(1-Inputs!$B$52)*DCF!B5))^DCF!Q44+(DCF!Q34*(1+(Inputs!$B$64+(0)))-DCF!Q42*(Inputs!$B$64+(0)))/(((Inputs!$B$60+(Inputs!$B$62+(0.2))*Inputs!$B$61)*(1-DCF!B5)+Inputs!$B$63*(1-Inputs!$B$52)*DCF!B5)-(Inputs!$B$64+(0)))/(1+((Inputs!$B$60+(Inputs!$B$62+(0.2))*Inputs!$B$61)*(1-DCF!B5)+Inputs!$B$63*(1-Inputs!$B$52)*DCF!B5))^DCF!Q44+DCF!B15-DCF!B16-DCF!B21)/DCF!B18,"")</f>
        <v>36.11596241437568</v>
      </c>
      <c r="D6" s="2">
        <f>IF(AND(Checks!B9="PASS",((Inputs!$B$60+(Inputs!$B$62+(0.2))*Inputs!$B$61)*(1-DCF!B5)+Inputs!$B$63*(1-Inputs!$B$52)*DCF!B5)&gt;(Inputs!$B$64+(0.005))),(Stub!B52/(1+((Inputs!$B$60+(Inputs!$B$62+(0.2))*Inputs!$B$61)*(1-DCF!B5)+Inputs!$B$63*(1-Inputs!$B$52)*DCF!B5))^Stub!B5+CashFlow!H35/(1+((Inputs!$B$60+(Inputs!$B$62+(0.2))*Inputs!$B$61)*(1-DCF!B5)+Inputs!$B$63*(1-Inputs!$B$52)*DCF!B5))^DCF!H44+CashFlow!I35/(1+((Inputs!$B$60+(Inputs!$B$62+(0.2))*Inputs!$B$61)*(1-DCF!B5)+Inputs!$B$63*(1-Inputs!$B$52)*DCF!B5))^DCF!I44+CashFlow!J35/(1+((Inputs!$B$60+(Inputs!$B$62+(0.2))*Inputs!$B$61)*(1-DCF!B5)+Inputs!$B$63*(1-Inputs!$B$52)*DCF!B5))^DCF!J44+CashFlow!K35/(1+((Inputs!$B$60+(Inputs!$B$62+(0.2))*Inputs!$B$61)*(1-DCF!B5)+Inputs!$B$63*(1-Inputs!$B$52)*DCF!B5))^DCF!K44+CashFlow!L35/(1+((Inputs!$B$60+(Inputs!$B$62+(0.2))*Inputs!$B$61)*(1-DCF!B5)+Inputs!$B$63*(1-Inputs!$B$52)*DCF!B5))^DCF!L44+CashFlow!M35/(1+((Inputs!$B$60+(Inputs!$B$62+(0.2))*Inputs!$B$61)*(1-DCF!B5)+Inputs!$B$63*(1-Inputs!$B$52)*DCF!B5))^DCF!M44+CashFlow!N35/(1+((Inputs!$B$60+(Inputs!$B$62+(0.2))*Inputs!$B$61)*(1-DCF!B5)+Inputs!$B$63*(1-Inputs!$B$52)*DCF!B5))^DCF!N44+CashFlow!O35/(1+((Inputs!$B$60+(Inputs!$B$62+(0.2))*Inputs!$B$61)*(1-DCF!B5)+Inputs!$B$63*(1-Inputs!$B$52)*DCF!B5))^DCF!O44+CashFlow!P35/(1+((Inputs!$B$60+(Inputs!$B$62+(0.2))*Inputs!$B$61)*(1-DCF!B5)+Inputs!$B$63*(1-Inputs!$B$52)*DCF!B5))^DCF!P44+CashFlow!Q35/(1+((Inputs!$B$60+(Inputs!$B$62+(0.2))*Inputs!$B$61)*(1-DCF!B5)+Inputs!$B$63*(1-Inputs!$B$52)*DCF!B5))^DCF!Q44+(DCF!Q34*(1+(Inputs!$B$64+(0.005)))-DCF!Q42*(Inputs!$B$64+(0.005)))/(((Inputs!$B$60+(Inputs!$B$62+(0.2))*Inputs!$B$61)*(1-DCF!B5)+Inputs!$B$63*(1-Inputs!$B$52)*DCF!B5)-(Inputs!$B$64+(0.005)))/(1+((Inputs!$B$60+(Inputs!$B$62+(0.2))*Inputs!$B$61)*(1-DCF!B5)+Inputs!$B$63*(1-Inputs!$B$52)*DCF!B5))^DCF!Q44+DCF!B15-DCF!B16-DCF!B21)/DCF!B18,"")</f>
        <v>37.741416898989122</v>
      </c>
    </row>
  </sheetData>
  <mergeCells count="2">
    <mergeCell ref="A2:L2"/>
    <mergeCell ref="A1:L1"/>
  </mergeCells>
  <pageMargins left="0.7" right="0.7" top="0.75" bottom="0.75" header="0.3" footer="0.3"/>
  <pageSetup paperSize="9" scale="51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67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59.7109375" customWidth="1"/>
    <col min="2" max="2" width="17.7109375" customWidth="1"/>
    <col min="3" max="3" width="95.7109375" customWidth="1"/>
    <col min="4" max="12" width="17.7109375" customWidth="1"/>
  </cols>
  <sheetData>
    <row r="1" spans="1:12" ht="21" customHeight="1" x14ac:dyDescent="0.25">
      <c r="A1" s="40" t="s">
        <v>204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21" customHeight="1" x14ac:dyDescent="0.25">
      <c r="A2" s="38" t="s">
        <v>205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21" customHeight="1" x14ac:dyDescent="0.25">
      <c r="A3" s="7" t="s">
        <v>206</v>
      </c>
      <c r="B3" s="7" t="s">
        <v>3</v>
      </c>
      <c r="C3" s="7" t="s">
        <v>207</v>
      </c>
      <c r="D3" s="8"/>
      <c r="E3" s="8"/>
      <c r="F3" s="8"/>
      <c r="G3" s="8"/>
      <c r="H3" s="8"/>
      <c r="I3" s="8"/>
      <c r="J3" s="8"/>
      <c r="K3" s="8"/>
      <c r="L3" s="8"/>
    </row>
    <row r="4" spans="1:12" ht="33" customHeight="1" x14ac:dyDescent="0.25">
      <c r="A4" s="6" t="s">
        <v>208</v>
      </c>
      <c r="B4" s="9">
        <v>794</v>
      </c>
      <c r="C4" s="9" t="s">
        <v>209</v>
      </c>
      <c r="D4" s="8"/>
      <c r="E4" s="8"/>
      <c r="F4" s="8"/>
      <c r="G4" s="8"/>
      <c r="H4" s="8"/>
      <c r="I4" s="8"/>
      <c r="J4" s="8"/>
      <c r="K4" s="8"/>
      <c r="L4" s="8"/>
    </row>
    <row r="5" spans="1:12" ht="33" customHeight="1" x14ac:dyDescent="0.25">
      <c r="A5" s="6" t="s">
        <v>210</v>
      </c>
      <c r="B5" s="9">
        <v>0</v>
      </c>
      <c r="C5" s="9" t="s">
        <v>209</v>
      </c>
      <c r="D5" s="8"/>
      <c r="E5" s="8"/>
      <c r="F5" s="8"/>
      <c r="G5" s="8"/>
      <c r="H5" s="8"/>
      <c r="I5" s="8"/>
      <c r="J5" s="8"/>
      <c r="K5" s="8"/>
      <c r="L5" s="8"/>
    </row>
    <row r="6" spans="1:12" ht="33" customHeight="1" x14ac:dyDescent="0.25">
      <c r="A6" s="6" t="s">
        <v>211</v>
      </c>
      <c r="B6" s="9">
        <v>0</v>
      </c>
      <c r="C6" s="9" t="s">
        <v>209</v>
      </c>
      <c r="D6" s="8"/>
      <c r="E6" s="8"/>
      <c r="F6" s="8"/>
      <c r="G6" s="8"/>
      <c r="H6" s="8"/>
      <c r="I6" s="8"/>
      <c r="J6" s="8"/>
      <c r="K6" s="8"/>
      <c r="L6" s="8"/>
    </row>
    <row r="7" spans="1:12" ht="33" customHeight="1" x14ac:dyDescent="0.25">
      <c r="A7" s="6" t="s">
        <v>212</v>
      </c>
      <c r="B7" s="9">
        <v>1256</v>
      </c>
      <c r="C7" s="9" t="s">
        <v>209</v>
      </c>
      <c r="D7" s="8"/>
      <c r="E7" s="8"/>
      <c r="F7" s="8"/>
      <c r="G7" s="8"/>
      <c r="H7" s="8"/>
      <c r="I7" s="8"/>
      <c r="J7" s="8"/>
      <c r="K7" s="8"/>
      <c r="L7" s="8"/>
    </row>
    <row r="8" spans="1:12" ht="33" customHeight="1" x14ac:dyDescent="0.25">
      <c r="A8" s="6" t="s">
        <v>161</v>
      </c>
      <c r="B8" s="9">
        <v>0</v>
      </c>
      <c r="C8" s="9" t="s">
        <v>209</v>
      </c>
      <c r="D8" s="8"/>
      <c r="E8" s="8"/>
      <c r="F8" s="8"/>
      <c r="G8" s="8"/>
      <c r="H8" s="8"/>
      <c r="I8" s="8"/>
      <c r="J8" s="8"/>
      <c r="K8" s="8"/>
      <c r="L8" s="8"/>
    </row>
    <row r="9" spans="1:12" ht="33" customHeight="1" x14ac:dyDescent="0.25">
      <c r="A9" s="6" t="s">
        <v>213</v>
      </c>
      <c r="B9" s="9">
        <v>0</v>
      </c>
      <c r="C9" s="9" t="s">
        <v>209</v>
      </c>
      <c r="D9" s="8"/>
      <c r="E9" s="8"/>
      <c r="F9" s="8"/>
      <c r="G9" s="8"/>
      <c r="H9" s="8"/>
      <c r="I9" s="8"/>
      <c r="J9" s="8"/>
      <c r="K9" s="8"/>
      <c r="L9" s="8"/>
    </row>
    <row r="10" spans="1:12" ht="33" customHeight="1" x14ac:dyDescent="0.25">
      <c r="A10" s="6" t="s">
        <v>214</v>
      </c>
      <c r="B10" s="9">
        <v>0</v>
      </c>
      <c r="C10" s="9" t="s">
        <v>209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33" customHeight="1" x14ac:dyDescent="0.25">
      <c r="A11" s="6" t="s">
        <v>215</v>
      </c>
      <c r="B11" s="9">
        <v>1106</v>
      </c>
      <c r="C11" s="9" t="s">
        <v>209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33" customHeight="1" x14ac:dyDescent="0.25">
      <c r="A12" s="6" t="s">
        <v>216</v>
      </c>
      <c r="B12" s="9">
        <v>0</v>
      </c>
      <c r="C12" s="9" t="s">
        <v>209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33" customHeight="1" x14ac:dyDescent="0.25">
      <c r="A13" s="6" t="s">
        <v>217</v>
      </c>
      <c r="B13" s="9">
        <v>0</v>
      </c>
      <c r="C13" s="9" t="s">
        <v>209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33" customHeight="1" x14ac:dyDescent="0.25">
      <c r="A14" s="6" t="s">
        <v>218</v>
      </c>
      <c r="B14" s="9">
        <v>2000</v>
      </c>
      <c r="C14" s="9" t="s">
        <v>209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33" customHeight="1" x14ac:dyDescent="0.25">
      <c r="A15" s="6" t="s">
        <v>219</v>
      </c>
      <c r="B15" s="9">
        <v>1459</v>
      </c>
      <c r="C15" s="9" t="s">
        <v>209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33" customHeight="1" x14ac:dyDescent="0.25">
      <c r="A16" s="6" t="s">
        <v>220</v>
      </c>
      <c r="B16" s="9">
        <v>0</v>
      </c>
      <c r="C16" s="9" t="s">
        <v>209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33" customHeight="1" x14ac:dyDescent="0.25">
      <c r="A17" s="6" t="s">
        <v>221</v>
      </c>
      <c r="B17" s="9">
        <v>0</v>
      </c>
      <c r="C17" s="9" t="s">
        <v>209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33" customHeight="1" x14ac:dyDescent="0.25">
      <c r="A18" s="6" t="s">
        <v>222</v>
      </c>
      <c r="B18" s="9">
        <v>0</v>
      </c>
      <c r="C18" s="9" t="s">
        <v>209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33" customHeight="1" x14ac:dyDescent="0.25">
      <c r="A19" s="6" t="s">
        <v>223</v>
      </c>
      <c r="B19" s="9">
        <v>248</v>
      </c>
      <c r="C19" s="9" t="s">
        <v>209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33" customHeight="1" x14ac:dyDescent="0.25">
      <c r="A20" s="6" t="s">
        <v>224</v>
      </c>
      <c r="B20" s="9">
        <v>3366</v>
      </c>
      <c r="C20" s="9" t="s">
        <v>209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33" customHeight="1" x14ac:dyDescent="0.25">
      <c r="A21" s="6" t="s">
        <v>225</v>
      </c>
      <c r="B21" s="9">
        <v>1137</v>
      </c>
      <c r="C21" s="9" t="s">
        <v>209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33" customHeight="1" x14ac:dyDescent="0.25">
      <c r="A22" s="6" t="s">
        <v>226</v>
      </c>
      <c r="B22" s="9">
        <v>-1054</v>
      </c>
      <c r="C22" s="9" t="s">
        <v>209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33" customHeight="1" x14ac:dyDescent="0.25">
      <c r="A23" s="6" t="s">
        <v>227</v>
      </c>
      <c r="B23" s="9">
        <v>5156</v>
      </c>
      <c r="C23" s="9" t="s">
        <v>209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33" customHeight="1" x14ac:dyDescent="0.25">
      <c r="A24" s="6" t="s">
        <v>228</v>
      </c>
      <c r="B24" s="9">
        <v>6210</v>
      </c>
      <c r="C24" s="9" t="s">
        <v>209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33" customHeight="1" x14ac:dyDescent="0.25">
      <c r="A25" s="6" t="s">
        <v>229</v>
      </c>
      <c r="B25" s="9">
        <v>2</v>
      </c>
      <c r="C25" s="9" t="s">
        <v>209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33" customHeight="1" x14ac:dyDescent="0.25">
      <c r="A26" s="6" t="s">
        <v>230</v>
      </c>
      <c r="B26" s="9">
        <v>203.44827586206901</v>
      </c>
      <c r="C26" s="9" t="s">
        <v>231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21" customHeight="1" x14ac:dyDescent="0.25">
      <c r="A27" s="6" t="s">
        <v>232</v>
      </c>
      <c r="B27" s="9">
        <f>History!E56</f>
        <v>7209</v>
      </c>
      <c r="C27" s="9" t="s">
        <v>233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21" customHeight="1" x14ac:dyDescent="0.25">
      <c r="A28" s="6" t="s">
        <v>234</v>
      </c>
      <c r="B28" s="9">
        <f>History!E57</f>
        <v>1206</v>
      </c>
      <c r="C28" s="9" t="s">
        <v>233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21" customHeight="1" x14ac:dyDescent="0.25">
      <c r="A29" s="6" t="s">
        <v>235</v>
      </c>
      <c r="B29" s="9">
        <f>History!E58</f>
        <v>781</v>
      </c>
      <c r="C29" s="9" t="s">
        <v>233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21" customHeight="1" x14ac:dyDescent="0.25">
      <c r="A30" s="6" t="s">
        <v>236</v>
      </c>
      <c r="B30" s="9">
        <f>History!E59</f>
        <v>190</v>
      </c>
      <c r="C30" s="9" t="s">
        <v>233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21" customHeight="1" x14ac:dyDescent="0.25">
      <c r="A31" s="6" t="s">
        <v>237</v>
      </c>
      <c r="B31" s="9">
        <f>History!E60</f>
        <v>246</v>
      </c>
      <c r="C31" s="9" t="s">
        <v>233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21" customHeight="1" x14ac:dyDescent="0.25">
      <c r="A32" s="6" t="s">
        <v>238</v>
      </c>
      <c r="B32" s="9">
        <f>History!E61</f>
        <v>23</v>
      </c>
      <c r="C32" s="9" t="s">
        <v>233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21" customHeight="1" x14ac:dyDescent="0.25">
      <c r="A33" s="6" t="s">
        <v>239</v>
      </c>
      <c r="B33" s="9">
        <f>History!E62</f>
        <v>-242</v>
      </c>
      <c r="C33" s="9" t="s">
        <v>233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21" customHeight="1" x14ac:dyDescent="0.25">
      <c r="A34" s="6" t="s">
        <v>240</v>
      </c>
      <c r="B34" s="9">
        <f>History!E63</f>
        <v>1273</v>
      </c>
      <c r="C34" s="9" t="s">
        <v>233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21" customHeight="1" x14ac:dyDescent="0.25">
      <c r="A35" s="6" t="s">
        <v>241</v>
      </c>
      <c r="B35" s="9">
        <f>History!E64</f>
        <v>-221</v>
      </c>
      <c r="C35" s="9" t="s">
        <v>233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21" customHeight="1" x14ac:dyDescent="0.25">
      <c r="A36" s="6" t="s">
        <v>242</v>
      </c>
      <c r="B36" s="9">
        <f>History!E65</f>
        <v>-621</v>
      </c>
      <c r="C36" s="9" t="s">
        <v>233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21" customHeight="1" x14ac:dyDescent="0.25">
      <c r="A37" s="6" t="s">
        <v>243</v>
      </c>
      <c r="B37" s="9">
        <f>History!E66</f>
        <v>-190</v>
      </c>
      <c r="C37" s="9" t="s">
        <v>233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21" customHeight="1" x14ac:dyDescent="0.25">
      <c r="A38" s="6" t="s">
        <v>244</v>
      </c>
      <c r="B38" s="9">
        <f>History!E67</f>
        <v>971</v>
      </c>
      <c r="C38" s="9" t="s">
        <v>233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21" customHeight="1" x14ac:dyDescent="0.25">
      <c r="A39" s="6" t="s">
        <v>245</v>
      </c>
      <c r="B39" s="9">
        <f>History!E68</f>
        <v>6003</v>
      </c>
      <c r="C39" s="9" t="s">
        <v>233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21" customHeight="1" x14ac:dyDescent="0.25">
      <c r="A40" s="6" t="s">
        <v>246</v>
      </c>
      <c r="B40" s="9">
        <f>History!E69</f>
        <v>0</v>
      </c>
      <c r="C40" s="9" t="s">
        <v>233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21" customHeight="1" x14ac:dyDescent="0.25">
      <c r="A41" s="6" t="s">
        <v>247</v>
      </c>
      <c r="B41" s="9">
        <f>History!E70</f>
        <v>0</v>
      </c>
      <c r="C41" s="9" t="s">
        <v>233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21" customHeight="1" x14ac:dyDescent="0.25">
      <c r="A42" s="6" t="s">
        <v>248</v>
      </c>
      <c r="B42" s="9">
        <f>History!E71</f>
        <v>4028</v>
      </c>
      <c r="C42" s="9" t="s">
        <v>233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21" customHeight="1" x14ac:dyDescent="0.25">
      <c r="A43" s="6" t="s">
        <v>249</v>
      </c>
      <c r="B43" s="9">
        <f>History!E72</f>
        <v>1975</v>
      </c>
      <c r="C43" s="9" t="s">
        <v>233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33" customHeight="1" x14ac:dyDescent="0.25">
      <c r="A44" s="6" t="s">
        <v>250</v>
      </c>
      <c r="B44" s="9">
        <v>7291</v>
      </c>
      <c r="C44" s="9" t="s">
        <v>251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33" customHeight="1" x14ac:dyDescent="0.25">
      <c r="A45" s="6" t="s">
        <v>252</v>
      </c>
      <c r="B45" s="9">
        <v>2892</v>
      </c>
      <c r="C45" s="9" t="s">
        <v>251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33" customHeight="1" x14ac:dyDescent="0.25">
      <c r="A46" s="6" t="s">
        <v>253</v>
      </c>
      <c r="B46" s="9">
        <v>2974</v>
      </c>
      <c r="C46" s="9" t="s">
        <v>251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33" customHeight="1" x14ac:dyDescent="0.25">
      <c r="A47" s="6" t="s">
        <v>254</v>
      </c>
      <c r="B47" s="9">
        <v>7209</v>
      </c>
      <c r="C47" s="9" t="s">
        <v>251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33" customHeight="1" x14ac:dyDescent="0.25">
      <c r="A48" s="6" t="s">
        <v>255</v>
      </c>
      <c r="B48" s="9">
        <v>0</v>
      </c>
      <c r="C48" s="9" t="s">
        <v>251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33" customHeight="1" x14ac:dyDescent="0.25">
      <c r="A49" s="6" t="s">
        <v>256</v>
      </c>
      <c r="B49" s="9">
        <v>0</v>
      </c>
      <c r="C49" s="9" t="s">
        <v>251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33" customHeight="1" x14ac:dyDescent="0.25">
      <c r="A50" s="6" t="s">
        <v>257</v>
      </c>
      <c r="B50" s="9">
        <v>0</v>
      </c>
      <c r="C50" s="9" t="s">
        <v>251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33" customHeight="1" x14ac:dyDescent="0.25">
      <c r="A51" s="6" t="s">
        <v>258</v>
      </c>
      <c r="B51" s="9">
        <v>0</v>
      </c>
      <c r="C51" s="9" t="s">
        <v>251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33" customHeight="1" x14ac:dyDescent="0.25">
      <c r="A52" s="6" t="s">
        <v>259</v>
      </c>
      <c r="B52" s="9">
        <v>0.19567456230690011</v>
      </c>
      <c r="C52" s="9" t="s">
        <v>260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33" customHeight="1" x14ac:dyDescent="0.25">
      <c r="A53" s="6" t="s">
        <v>261</v>
      </c>
      <c r="B53" s="9">
        <v>246</v>
      </c>
      <c r="C53" s="9" t="s">
        <v>262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33" customHeight="1" x14ac:dyDescent="0.25">
      <c r="A54" s="6" t="s">
        <v>263</v>
      </c>
      <c r="B54" s="10">
        <v>-0.02</v>
      </c>
      <c r="C54" s="9" t="s">
        <v>264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33" customHeight="1" x14ac:dyDescent="0.25">
      <c r="A55" s="6" t="s">
        <v>265</v>
      </c>
      <c r="B55" s="10">
        <v>0</v>
      </c>
      <c r="C55" s="9" t="s">
        <v>264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33" customHeight="1" x14ac:dyDescent="0.25">
      <c r="A56" s="6" t="s">
        <v>266</v>
      </c>
      <c r="B56" s="10">
        <v>8</v>
      </c>
      <c r="C56" s="9" t="s">
        <v>264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33" customHeight="1" x14ac:dyDescent="0.25">
      <c r="A57" s="6" t="s">
        <v>267</v>
      </c>
      <c r="B57" s="10">
        <v>5</v>
      </c>
      <c r="C57" s="9" t="s">
        <v>264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33" customHeight="1" x14ac:dyDescent="0.25">
      <c r="A58" s="6" t="s">
        <v>268</v>
      </c>
      <c r="B58" s="10">
        <v>0</v>
      </c>
      <c r="C58" s="9" t="s">
        <v>264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33" customHeight="1" x14ac:dyDescent="0.25">
      <c r="A59" s="6" t="s">
        <v>269</v>
      </c>
      <c r="B59" s="10">
        <v>0</v>
      </c>
      <c r="C59" s="9" t="s">
        <v>264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33" customHeight="1" x14ac:dyDescent="0.25">
      <c r="A60" s="6" t="s">
        <v>270</v>
      </c>
      <c r="B60" s="10">
        <v>0.04</v>
      </c>
      <c r="C60" s="9" t="s">
        <v>264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33" customHeight="1" x14ac:dyDescent="0.25">
      <c r="A61" s="6" t="s">
        <v>271</v>
      </c>
      <c r="B61" s="10">
        <v>5.5E-2</v>
      </c>
      <c r="C61" s="9" t="s">
        <v>264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33" customHeight="1" x14ac:dyDescent="0.25">
      <c r="A62" s="6" t="s">
        <v>272</v>
      </c>
      <c r="B62" s="10">
        <v>1.4</v>
      </c>
      <c r="C62" s="9" t="s">
        <v>264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33" customHeight="1" x14ac:dyDescent="0.25">
      <c r="A63" s="6" t="s">
        <v>273</v>
      </c>
      <c r="B63" s="10">
        <v>6.5000000000000002E-2</v>
      </c>
      <c r="C63" s="9" t="s">
        <v>264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33" customHeight="1" x14ac:dyDescent="0.25">
      <c r="A64" s="6" t="s">
        <v>274</v>
      </c>
      <c r="B64" s="10">
        <v>0.02</v>
      </c>
      <c r="C64" s="9" t="s">
        <v>264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33" customHeight="1" x14ac:dyDescent="0.25">
      <c r="A65" s="6" t="s">
        <v>275</v>
      </c>
      <c r="B65" s="10">
        <v>16.73</v>
      </c>
      <c r="C65" s="9" t="s">
        <v>264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33" customHeight="1" x14ac:dyDescent="0.25">
      <c r="A66" s="6" t="s">
        <v>276</v>
      </c>
      <c r="B66" s="10">
        <v>0.55874601192953255</v>
      </c>
      <c r="C66" s="9" t="s">
        <v>277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33" customHeight="1" x14ac:dyDescent="0.25">
      <c r="A67" s="6" t="s">
        <v>278</v>
      </c>
      <c r="B67" s="10">
        <v>0.2739631016784575</v>
      </c>
      <c r="C67" s="9" t="s">
        <v>277</v>
      </c>
      <c r="D67" s="8"/>
      <c r="E67" s="8"/>
      <c r="F67" s="8"/>
      <c r="G67" s="8"/>
      <c r="H67" s="8"/>
      <c r="I67" s="8"/>
      <c r="J67" s="8"/>
      <c r="K67" s="8"/>
      <c r="L67" s="8"/>
    </row>
  </sheetData>
  <mergeCells count="2">
    <mergeCell ref="A2:L2"/>
    <mergeCell ref="A1:L1"/>
  </mergeCells>
  <pageMargins left="0.7" right="0.7" top="0.75" bottom="0.75" header="0.3" footer="0.3"/>
  <pageSetup paperSize="9" scale="39"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7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59.7109375" customWidth="1"/>
    <col min="2" max="2" width="17.7109375" customWidth="1"/>
    <col min="3" max="3" width="95.7109375" customWidth="1"/>
    <col min="4" max="12" width="17.7109375" customWidth="1"/>
  </cols>
  <sheetData>
    <row r="1" spans="1:12" ht="21" customHeight="1" x14ac:dyDescent="0.25">
      <c r="A1" s="40" t="s">
        <v>204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21" customHeight="1" x14ac:dyDescent="0.25">
      <c r="A2" s="38" t="s">
        <v>205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21" customHeight="1" x14ac:dyDescent="0.25">
      <c r="A3" s="7" t="s">
        <v>206</v>
      </c>
      <c r="B3" s="7" t="s">
        <v>3</v>
      </c>
      <c r="C3" s="7" t="s">
        <v>207</v>
      </c>
      <c r="D3" s="8"/>
      <c r="E3" s="8"/>
      <c r="F3" s="8"/>
      <c r="G3" s="8"/>
      <c r="H3" s="8"/>
      <c r="I3" s="8"/>
      <c r="J3" s="8"/>
      <c r="K3" s="8"/>
      <c r="L3" s="8"/>
    </row>
    <row r="4" spans="1:12" ht="33" customHeight="1" x14ac:dyDescent="0.25">
      <c r="A4" s="6" t="s">
        <v>208</v>
      </c>
      <c r="B4" s="9">
        <v>794</v>
      </c>
      <c r="C4" s="9" t="s">
        <v>209</v>
      </c>
      <c r="D4" s="8"/>
      <c r="E4" s="8"/>
      <c r="F4" s="8"/>
      <c r="G4" s="8"/>
      <c r="H4" s="8"/>
      <c r="I4" s="8"/>
      <c r="J4" s="8"/>
      <c r="K4" s="8"/>
      <c r="L4" s="8"/>
    </row>
    <row r="5" spans="1:12" ht="33" customHeight="1" x14ac:dyDescent="0.25">
      <c r="A5" s="6" t="s">
        <v>210</v>
      </c>
      <c r="B5" s="9">
        <v>0</v>
      </c>
      <c r="C5" s="9" t="s">
        <v>209</v>
      </c>
      <c r="D5" s="8"/>
      <c r="E5" s="8"/>
      <c r="F5" s="8"/>
      <c r="G5" s="8"/>
      <c r="H5" s="8"/>
      <c r="I5" s="8"/>
      <c r="J5" s="8"/>
      <c r="K5" s="8"/>
      <c r="L5" s="8"/>
    </row>
    <row r="6" spans="1:12" ht="33" customHeight="1" x14ac:dyDescent="0.25">
      <c r="A6" s="6" t="s">
        <v>211</v>
      </c>
      <c r="B6" s="9">
        <v>0</v>
      </c>
      <c r="C6" s="9" t="s">
        <v>209</v>
      </c>
      <c r="D6" s="8"/>
      <c r="E6" s="8"/>
      <c r="F6" s="8"/>
      <c r="G6" s="8"/>
      <c r="H6" s="8"/>
      <c r="I6" s="8"/>
      <c r="J6" s="8"/>
      <c r="K6" s="8"/>
      <c r="L6" s="8"/>
    </row>
    <row r="7" spans="1:12" ht="33" customHeight="1" x14ac:dyDescent="0.25">
      <c r="A7" s="6" t="s">
        <v>212</v>
      </c>
      <c r="B7" s="9">
        <v>1256</v>
      </c>
      <c r="C7" s="9" t="s">
        <v>209</v>
      </c>
      <c r="D7" s="8"/>
      <c r="E7" s="8"/>
      <c r="F7" s="8"/>
      <c r="G7" s="8"/>
      <c r="H7" s="8"/>
      <c r="I7" s="8"/>
      <c r="J7" s="8"/>
      <c r="K7" s="8"/>
      <c r="L7" s="8"/>
    </row>
    <row r="8" spans="1:12" ht="33" customHeight="1" x14ac:dyDescent="0.25">
      <c r="A8" s="6" t="s">
        <v>161</v>
      </c>
      <c r="B8" s="9">
        <v>0</v>
      </c>
      <c r="C8" s="9" t="s">
        <v>209</v>
      </c>
      <c r="D8" s="8"/>
      <c r="E8" s="8"/>
      <c r="F8" s="8"/>
      <c r="G8" s="8"/>
      <c r="H8" s="8"/>
      <c r="I8" s="8"/>
      <c r="J8" s="8"/>
      <c r="K8" s="8"/>
      <c r="L8" s="8"/>
    </row>
    <row r="9" spans="1:12" ht="33" customHeight="1" x14ac:dyDescent="0.25">
      <c r="A9" s="6" t="s">
        <v>213</v>
      </c>
      <c r="B9" s="9">
        <v>0</v>
      </c>
      <c r="C9" s="9" t="s">
        <v>209</v>
      </c>
      <c r="D9" s="8"/>
      <c r="E9" s="8"/>
      <c r="F9" s="8"/>
      <c r="G9" s="8"/>
      <c r="H9" s="8"/>
      <c r="I9" s="8"/>
      <c r="J9" s="8"/>
      <c r="K9" s="8"/>
      <c r="L9" s="8"/>
    </row>
    <row r="10" spans="1:12" ht="33" customHeight="1" x14ac:dyDescent="0.25">
      <c r="A10" s="6" t="s">
        <v>214</v>
      </c>
      <c r="B10" s="9">
        <v>0</v>
      </c>
      <c r="C10" s="9" t="s">
        <v>209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33" customHeight="1" x14ac:dyDescent="0.25">
      <c r="A11" s="6" t="s">
        <v>215</v>
      </c>
      <c r="B11" s="9">
        <v>1106</v>
      </c>
      <c r="C11" s="9" t="s">
        <v>209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33" customHeight="1" x14ac:dyDescent="0.25">
      <c r="A12" s="6" t="s">
        <v>216</v>
      </c>
      <c r="B12" s="9">
        <v>0</v>
      </c>
      <c r="C12" s="9" t="s">
        <v>209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33" customHeight="1" x14ac:dyDescent="0.25">
      <c r="A13" s="6" t="s">
        <v>217</v>
      </c>
      <c r="B13" s="9">
        <v>0</v>
      </c>
      <c r="C13" s="9" t="s">
        <v>209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33" customHeight="1" x14ac:dyDescent="0.25">
      <c r="A14" s="6" t="s">
        <v>218</v>
      </c>
      <c r="B14" s="9">
        <v>2000</v>
      </c>
      <c r="C14" s="9" t="s">
        <v>209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33" customHeight="1" x14ac:dyDescent="0.25">
      <c r="A15" s="6" t="s">
        <v>219</v>
      </c>
      <c r="B15" s="9">
        <v>1459</v>
      </c>
      <c r="C15" s="9" t="s">
        <v>209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33" customHeight="1" x14ac:dyDescent="0.25">
      <c r="A16" s="6" t="s">
        <v>220</v>
      </c>
      <c r="B16" s="9">
        <v>0</v>
      </c>
      <c r="C16" s="9" t="s">
        <v>209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33" customHeight="1" x14ac:dyDescent="0.25">
      <c r="A17" s="6" t="s">
        <v>221</v>
      </c>
      <c r="B17" s="9">
        <v>0</v>
      </c>
      <c r="C17" s="9" t="s">
        <v>209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33" customHeight="1" x14ac:dyDescent="0.25">
      <c r="A18" s="6" t="s">
        <v>222</v>
      </c>
      <c r="B18" s="9">
        <v>0</v>
      </c>
      <c r="C18" s="9" t="s">
        <v>209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33" customHeight="1" x14ac:dyDescent="0.25">
      <c r="A19" s="6" t="s">
        <v>223</v>
      </c>
      <c r="B19" s="9">
        <v>248</v>
      </c>
      <c r="C19" s="9" t="s">
        <v>209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33" customHeight="1" x14ac:dyDescent="0.25">
      <c r="A20" s="6" t="s">
        <v>224</v>
      </c>
      <c r="B20" s="9">
        <v>3366</v>
      </c>
      <c r="C20" s="9" t="s">
        <v>209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33" customHeight="1" x14ac:dyDescent="0.25">
      <c r="A21" s="6" t="s">
        <v>225</v>
      </c>
      <c r="B21" s="9">
        <v>1137</v>
      </c>
      <c r="C21" s="9" t="s">
        <v>209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33" customHeight="1" x14ac:dyDescent="0.25">
      <c r="A22" s="6" t="s">
        <v>226</v>
      </c>
      <c r="B22" s="9">
        <v>-1054</v>
      </c>
      <c r="C22" s="9" t="s">
        <v>209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33" customHeight="1" x14ac:dyDescent="0.25">
      <c r="A23" s="6" t="s">
        <v>227</v>
      </c>
      <c r="B23" s="9">
        <v>5156</v>
      </c>
      <c r="C23" s="9" t="s">
        <v>209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33" customHeight="1" x14ac:dyDescent="0.25">
      <c r="A24" s="6" t="s">
        <v>228</v>
      </c>
      <c r="B24" s="9">
        <v>6210</v>
      </c>
      <c r="C24" s="9" t="s">
        <v>209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33" customHeight="1" x14ac:dyDescent="0.25">
      <c r="A25" s="6" t="s">
        <v>229</v>
      </c>
      <c r="B25" s="9">
        <v>2</v>
      </c>
      <c r="C25" s="9" t="s">
        <v>209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33" customHeight="1" x14ac:dyDescent="0.25">
      <c r="A26" s="6" t="s">
        <v>230</v>
      </c>
      <c r="B26" s="9">
        <v>203.44827586206901</v>
      </c>
      <c r="C26" s="9" t="s">
        <v>231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21" customHeight="1" x14ac:dyDescent="0.25">
      <c r="A27" s="6" t="s">
        <v>232</v>
      </c>
      <c r="B27" s="9">
        <v>7209</v>
      </c>
      <c r="C27" s="9" t="s">
        <v>233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21" customHeight="1" x14ac:dyDescent="0.25">
      <c r="A28" s="6" t="s">
        <v>234</v>
      </c>
      <c r="B28" s="9">
        <v>1206</v>
      </c>
      <c r="C28" s="9" t="s">
        <v>233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21" customHeight="1" x14ac:dyDescent="0.25">
      <c r="A29" s="6" t="s">
        <v>235</v>
      </c>
      <c r="B29" s="9">
        <v>781</v>
      </c>
      <c r="C29" s="9" t="s">
        <v>233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21" customHeight="1" x14ac:dyDescent="0.25">
      <c r="A30" s="6" t="s">
        <v>236</v>
      </c>
      <c r="B30" s="9">
        <v>190</v>
      </c>
      <c r="C30" s="9" t="s">
        <v>233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21" customHeight="1" x14ac:dyDescent="0.25">
      <c r="A31" s="6" t="s">
        <v>237</v>
      </c>
      <c r="B31" s="9">
        <v>246</v>
      </c>
      <c r="C31" s="9" t="s">
        <v>233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21" customHeight="1" x14ac:dyDescent="0.25">
      <c r="A32" s="6" t="s">
        <v>238</v>
      </c>
      <c r="B32" s="9">
        <v>23</v>
      </c>
      <c r="C32" s="9" t="s">
        <v>233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21" customHeight="1" x14ac:dyDescent="0.25">
      <c r="A33" s="6" t="s">
        <v>239</v>
      </c>
      <c r="B33" s="9">
        <v>-242</v>
      </c>
      <c r="C33" s="9" t="s">
        <v>233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21" customHeight="1" x14ac:dyDescent="0.25">
      <c r="A34" s="6" t="s">
        <v>240</v>
      </c>
      <c r="B34" s="9">
        <v>1273</v>
      </c>
      <c r="C34" s="9" t="s">
        <v>233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21" customHeight="1" x14ac:dyDescent="0.25">
      <c r="A35" s="6" t="s">
        <v>241</v>
      </c>
      <c r="B35" s="9">
        <v>-221</v>
      </c>
      <c r="C35" s="9" t="s">
        <v>233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21" customHeight="1" x14ac:dyDescent="0.25">
      <c r="A36" s="6" t="s">
        <v>242</v>
      </c>
      <c r="B36" s="9">
        <v>-621</v>
      </c>
      <c r="C36" s="9" t="s">
        <v>233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21" customHeight="1" x14ac:dyDescent="0.25">
      <c r="A37" s="6" t="s">
        <v>243</v>
      </c>
      <c r="B37" s="9">
        <v>-190</v>
      </c>
      <c r="C37" s="9" t="s">
        <v>233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21" customHeight="1" x14ac:dyDescent="0.25">
      <c r="A38" s="6" t="s">
        <v>244</v>
      </c>
      <c r="B38" s="9">
        <v>971</v>
      </c>
      <c r="C38" s="9" t="s">
        <v>233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21" customHeight="1" x14ac:dyDescent="0.25">
      <c r="A39" s="6" t="s">
        <v>245</v>
      </c>
      <c r="B39" s="9">
        <v>6003</v>
      </c>
      <c r="C39" s="9" t="s">
        <v>233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21" customHeight="1" x14ac:dyDescent="0.25">
      <c r="A40" s="6" t="s">
        <v>246</v>
      </c>
      <c r="B40" s="9">
        <v>0</v>
      </c>
      <c r="C40" s="9" t="s">
        <v>233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21" customHeight="1" x14ac:dyDescent="0.25">
      <c r="A41" s="6" t="s">
        <v>247</v>
      </c>
      <c r="B41" s="9">
        <v>0</v>
      </c>
      <c r="C41" s="9" t="s">
        <v>233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21" customHeight="1" x14ac:dyDescent="0.25">
      <c r="A42" s="6" t="s">
        <v>248</v>
      </c>
      <c r="B42" s="9">
        <v>4028</v>
      </c>
      <c r="C42" s="9" t="s">
        <v>233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21" customHeight="1" x14ac:dyDescent="0.25">
      <c r="A43" s="6" t="s">
        <v>249</v>
      </c>
      <c r="B43" s="9">
        <v>1975</v>
      </c>
      <c r="C43" s="9" t="s">
        <v>233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33" customHeight="1" x14ac:dyDescent="0.25">
      <c r="A44" s="6" t="s">
        <v>250</v>
      </c>
      <c r="B44" s="9">
        <v>7291</v>
      </c>
      <c r="C44" s="9" t="s">
        <v>251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33" customHeight="1" x14ac:dyDescent="0.25">
      <c r="A45" s="6" t="s">
        <v>252</v>
      </c>
      <c r="B45" s="9">
        <v>2892</v>
      </c>
      <c r="C45" s="9" t="s">
        <v>251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33" customHeight="1" x14ac:dyDescent="0.25">
      <c r="A46" s="6" t="s">
        <v>253</v>
      </c>
      <c r="B46" s="9">
        <v>2974</v>
      </c>
      <c r="C46" s="9" t="s">
        <v>251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33" customHeight="1" x14ac:dyDescent="0.25">
      <c r="A47" s="6" t="s">
        <v>254</v>
      </c>
      <c r="B47" s="9">
        <v>7209</v>
      </c>
      <c r="C47" s="9" t="s">
        <v>251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33" customHeight="1" x14ac:dyDescent="0.25">
      <c r="A48" s="6" t="s">
        <v>255</v>
      </c>
      <c r="B48" s="9">
        <v>0</v>
      </c>
      <c r="C48" s="9" t="s">
        <v>251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33" customHeight="1" x14ac:dyDescent="0.25">
      <c r="A49" s="6" t="s">
        <v>256</v>
      </c>
      <c r="B49" s="9">
        <v>0</v>
      </c>
      <c r="C49" s="9" t="s">
        <v>251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33" customHeight="1" x14ac:dyDescent="0.25">
      <c r="A50" s="6" t="s">
        <v>257</v>
      </c>
      <c r="B50" s="9">
        <v>0</v>
      </c>
      <c r="C50" s="9" t="s">
        <v>251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33" customHeight="1" x14ac:dyDescent="0.25">
      <c r="A51" s="6" t="s">
        <v>258</v>
      </c>
      <c r="B51" s="9">
        <v>0</v>
      </c>
      <c r="C51" s="9" t="s">
        <v>251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33" customHeight="1" x14ac:dyDescent="0.25">
      <c r="A52" s="6" t="s">
        <v>259</v>
      </c>
      <c r="B52" s="9">
        <v>0.19567456230690011</v>
      </c>
      <c r="C52" s="9" t="s">
        <v>260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33" customHeight="1" x14ac:dyDescent="0.25">
      <c r="A53" s="6" t="s">
        <v>261</v>
      </c>
      <c r="B53" s="9">
        <v>246</v>
      </c>
      <c r="C53" s="9" t="s">
        <v>262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33" customHeight="1" x14ac:dyDescent="0.25">
      <c r="A54" s="6" t="s">
        <v>263</v>
      </c>
      <c r="B54" s="9">
        <v>-0.02</v>
      </c>
      <c r="C54" s="9" t="s">
        <v>264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33" customHeight="1" x14ac:dyDescent="0.25">
      <c r="A55" s="6" t="s">
        <v>265</v>
      </c>
      <c r="B55" s="9">
        <v>0</v>
      </c>
      <c r="C55" s="9" t="s">
        <v>264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33" customHeight="1" x14ac:dyDescent="0.25">
      <c r="A56" s="6" t="s">
        <v>266</v>
      </c>
      <c r="B56" s="9">
        <v>8</v>
      </c>
      <c r="C56" s="9" t="s">
        <v>264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33" customHeight="1" x14ac:dyDescent="0.25">
      <c r="A57" s="6" t="s">
        <v>267</v>
      </c>
      <c r="B57" s="9">
        <v>5</v>
      </c>
      <c r="C57" s="9" t="s">
        <v>264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33" customHeight="1" x14ac:dyDescent="0.25">
      <c r="A58" s="6" t="s">
        <v>268</v>
      </c>
      <c r="B58" s="9">
        <v>0</v>
      </c>
      <c r="C58" s="9" t="s">
        <v>264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33" customHeight="1" x14ac:dyDescent="0.25">
      <c r="A59" s="6" t="s">
        <v>269</v>
      </c>
      <c r="B59" s="9">
        <v>0</v>
      </c>
      <c r="C59" s="9" t="s">
        <v>264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33" customHeight="1" x14ac:dyDescent="0.25">
      <c r="A60" s="6" t="s">
        <v>270</v>
      </c>
      <c r="B60" s="9">
        <v>0.04</v>
      </c>
      <c r="C60" s="9" t="s">
        <v>264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33" customHeight="1" x14ac:dyDescent="0.25">
      <c r="A61" s="6" t="s">
        <v>271</v>
      </c>
      <c r="B61" s="9">
        <v>5.5E-2</v>
      </c>
      <c r="C61" s="9" t="s">
        <v>264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33" customHeight="1" x14ac:dyDescent="0.25">
      <c r="A62" s="6" t="s">
        <v>272</v>
      </c>
      <c r="B62" s="9">
        <v>1.4</v>
      </c>
      <c r="C62" s="9" t="s">
        <v>264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33" customHeight="1" x14ac:dyDescent="0.25">
      <c r="A63" s="6" t="s">
        <v>273</v>
      </c>
      <c r="B63" s="9">
        <v>6.5000000000000002E-2</v>
      </c>
      <c r="C63" s="9" t="s">
        <v>264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33" customHeight="1" x14ac:dyDescent="0.25">
      <c r="A64" s="6" t="s">
        <v>274</v>
      </c>
      <c r="B64" s="9">
        <v>0.02</v>
      </c>
      <c r="C64" s="9" t="s">
        <v>264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33" customHeight="1" x14ac:dyDescent="0.25">
      <c r="A65" s="6" t="s">
        <v>275</v>
      </c>
      <c r="B65" s="9">
        <v>16.73</v>
      </c>
      <c r="C65" s="9" t="s">
        <v>264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33" customHeight="1" x14ac:dyDescent="0.25">
      <c r="A66" s="6" t="s">
        <v>276</v>
      </c>
      <c r="B66" s="9">
        <v>0.55874601192953255</v>
      </c>
      <c r="C66" s="9" t="s">
        <v>277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33" customHeight="1" x14ac:dyDescent="0.25">
      <c r="A67" s="6" t="s">
        <v>278</v>
      </c>
      <c r="B67" s="9">
        <v>0.2739631016784575</v>
      </c>
      <c r="C67" s="9" t="s">
        <v>277</v>
      </c>
      <c r="D67" s="8"/>
      <c r="E67" s="8"/>
      <c r="F67" s="8"/>
      <c r="G67" s="8"/>
      <c r="H67" s="8"/>
      <c r="I67" s="8"/>
      <c r="J67" s="8"/>
      <c r="K67" s="8"/>
      <c r="L67" s="8"/>
    </row>
  </sheetData>
  <mergeCells count="2">
    <mergeCell ref="A2:L2"/>
    <mergeCell ref="A1:L1"/>
  </mergeCells>
  <pageMargins left="0.7" right="0.7" top="0.75" bottom="0.75" header="0.3" footer="0.3"/>
  <pageSetup paperSize="9" scale="3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77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59.7109375" customWidth="1"/>
    <col min="2" max="12" width="17.7109375" customWidth="1"/>
  </cols>
  <sheetData>
    <row r="1" spans="1:12" ht="30" customHeight="1" x14ac:dyDescent="0.25">
      <c r="A1" s="42" t="s">
        <v>279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2.1" customHeight="1" x14ac:dyDescent="0.25">
      <c r="A2" s="41" t="s">
        <v>280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42" customHeight="1" x14ac:dyDescent="0.25">
      <c r="A3" s="3" t="s">
        <v>2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</row>
    <row r="4" spans="1:12" x14ac:dyDescent="0.25">
      <c r="A4" s="1" t="s">
        <v>281</v>
      </c>
      <c r="B4" s="2">
        <v>1075</v>
      </c>
      <c r="C4" s="2">
        <v>794</v>
      </c>
      <c r="D4" s="1"/>
      <c r="E4" s="1"/>
      <c r="F4" s="1"/>
      <c r="G4" s="1"/>
    </row>
    <row r="5" spans="1:12" x14ac:dyDescent="0.25">
      <c r="A5" s="1" t="s">
        <v>282</v>
      </c>
      <c r="B5" s="2">
        <v>-1846</v>
      </c>
      <c r="C5" s="2">
        <v>-1879</v>
      </c>
      <c r="D5" s="2">
        <v>-1951</v>
      </c>
      <c r="E5" s="2">
        <v>-1968</v>
      </c>
      <c r="F5" s="2">
        <v>-2063</v>
      </c>
      <c r="G5" s="2"/>
    </row>
    <row r="6" spans="1:12" x14ac:dyDescent="0.25">
      <c r="A6" s="1" t="s">
        <v>283</v>
      </c>
      <c r="B6" s="2"/>
      <c r="C6" s="2"/>
      <c r="D6" s="2"/>
      <c r="E6" s="2"/>
      <c r="F6" s="2"/>
      <c r="G6" s="2"/>
    </row>
    <row r="7" spans="1:12" x14ac:dyDescent="0.25">
      <c r="A7" s="1" t="s">
        <v>284</v>
      </c>
      <c r="B7" s="2">
        <v>7882</v>
      </c>
      <c r="C7" s="2">
        <v>7560</v>
      </c>
      <c r="D7" s="2">
        <v>7429</v>
      </c>
      <c r="E7" s="2">
        <v>7307</v>
      </c>
      <c r="F7" s="2">
        <v>7291</v>
      </c>
      <c r="G7" s="2">
        <f>E56</f>
        <v>7209</v>
      </c>
    </row>
    <row r="8" spans="1:12" x14ac:dyDescent="0.25">
      <c r="A8" s="1" t="s">
        <v>285</v>
      </c>
      <c r="B8" s="2">
        <v>-4027</v>
      </c>
      <c r="C8" s="2">
        <v>-4305</v>
      </c>
      <c r="D8" s="2">
        <v>-4193</v>
      </c>
      <c r="E8" s="2">
        <v>-4073</v>
      </c>
      <c r="F8" s="2">
        <v>-4102</v>
      </c>
      <c r="G8" s="2"/>
    </row>
    <row r="9" spans="1:12" x14ac:dyDescent="0.25">
      <c r="A9" s="1" t="s">
        <v>286</v>
      </c>
      <c r="B9" s="2">
        <v>3855</v>
      </c>
      <c r="C9" s="2">
        <v>3255</v>
      </c>
      <c r="D9" s="2">
        <v>3236</v>
      </c>
      <c r="E9" s="2">
        <v>3234</v>
      </c>
      <c r="F9" s="2">
        <v>3189</v>
      </c>
      <c r="G9" s="2"/>
    </row>
    <row r="10" spans="1:12" x14ac:dyDescent="0.25">
      <c r="A10" s="1" t="s">
        <v>287</v>
      </c>
      <c r="B10" s="2">
        <v>2009</v>
      </c>
      <c r="C10" s="2">
        <v>1376</v>
      </c>
      <c r="D10" s="2">
        <v>1285</v>
      </c>
      <c r="E10" s="2">
        <v>1266</v>
      </c>
      <c r="F10" s="2">
        <v>1126</v>
      </c>
      <c r="G10" s="2">
        <f>E57</f>
        <v>1206</v>
      </c>
    </row>
    <row r="11" spans="1:12" x14ac:dyDescent="0.25">
      <c r="A11" s="1" t="s">
        <v>288</v>
      </c>
      <c r="B11" s="2">
        <v>1423</v>
      </c>
      <c r="C11" s="2">
        <v>1045</v>
      </c>
      <c r="D11" s="2">
        <v>1021</v>
      </c>
      <c r="E11" s="2">
        <v>1028</v>
      </c>
      <c r="F11" s="2">
        <v>882</v>
      </c>
      <c r="G11" s="2">
        <f>E67</f>
        <v>971</v>
      </c>
    </row>
    <row r="12" spans="1:12" x14ac:dyDescent="0.25">
      <c r="A12" s="1" t="s">
        <v>289</v>
      </c>
      <c r="B12" s="2">
        <v>348</v>
      </c>
      <c r="C12" s="2">
        <v>251</v>
      </c>
      <c r="D12" s="2">
        <v>-143</v>
      </c>
      <c r="E12" s="2">
        <v>-230</v>
      </c>
      <c r="F12" s="2">
        <v>-233</v>
      </c>
      <c r="G12" s="2">
        <f>E66</f>
        <v>-190</v>
      </c>
    </row>
    <row r="13" spans="1:12" x14ac:dyDescent="0.25">
      <c r="A13" s="1" t="s">
        <v>290</v>
      </c>
      <c r="B13" s="2">
        <v>1333</v>
      </c>
      <c r="C13" s="2">
        <v>800</v>
      </c>
      <c r="D13" s="2">
        <v>878</v>
      </c>
      <c r="E13" s="2">
        <v>798</v>
      </c>
      <c r="F13" s="2">
        <v>649</v>
      </c>
      <c r="G13" s="2">
        <f>E58</f>
        <v>781</v>
      </c>
    </row>
    <row r="14" spans="1:12" x14ac:dyDescent="0.25">
      <c r="A14" s="1" t="s">
        <v>291</v>
      </c>
      <c r="B14" s="2">
        <v>258</v>
      </c>
      <c r="C14" s="2">
        <v>6</v>
      </c>
      <c r="D14" s="1"/>
      <c r="E14" s="1"/>
      <c r="F14" s="1"/>
      <c r="G14" s="1"/>
    </row>
    <row r="15" spans="1:12" x14ac:dyDescent="0.25">
      <c r="A15" s="1" t="s">
        <v>292</v>
      </c>
      <c r="B15" s="2"/>
      <c r="C15" s="2"/>
      <c r="D15" s="2"/>
      <c r="E15" s="2"/>
      <c r="F15" s="2"/>
      <c r="G15" s="2"/>
    </row>
    <row r="16" spans="1:12" x14ac:dyDescent="0.25">
      <c r="A16" s="1" t="s">
        <v>293</v>
      </c>
      <c r="B16" s="2">
        <v>-388</v>
      </c>
      <c r="C16" s="2">
        <v>-348</v>
      </c>
      <c r="D16" s="2">
        <v>-345</v>
      </c>
      <c r="E16" s="2">
        <v>-312</v>
      </c>
      <c r="F16" s="2">
        <v>-276</v>
      </c>
      <c r="G16" s="1"/>
    </row>
    <row r="17" spans="1:7" x14ac:dyDescent="0.25">
      <c r="A17" s="1" t="s">
        <v>208</v>
      </c>
      <c r="B17" s="2">
        <v>1979</v>
      </c>
      <c r="C17" s="2">
        <v>1232</v>
      </c>
      <c r="D17" s="2">
        <v>1084</v>
      </c>
      <c r="E17" s="2">
        <v>674</v>
      </c>
      <c r="F17" s="2">
        <v>953</v>
      </c>
      <c r="G17" s="2"/>
    </row>
    <row r="18" spans="1:7" x14ac:dyDescent="0.25">
      <c r="A18" s="1" t="s">
        <v>294</v>
      </c>
      <c r="B18" s="2">
        <v>240</v>
      </c>
      <c r="C18" s="2">
        <v>226</v>
      </c>
      <c r="D18" s="2">
        <v>224</v>
      </c>
      <c r="E18" s="2">
        <v>205</v>
      </c>
      <c r="F18" s="2">
        <v>180</v>
      </c>
      <c r="G18" s="2"/>
    </row>
    <row r="19" spans="1:7" x14ac:dyDescent="0.25">
      <c r="A19" s="1" t="s">
        <v>295</v>
      </c>
      <c r="B19" s="2">
        <v>709</v>
      </c>
      <c r="C19" s="2">
        <v>709</v>
      </c>
      <c r="D19" s="2">
        <v>710</v>
      </c>
      <c r="E19" s="2">
        <v>734</v>
      </c>
      <c r="F19" s="2">
        <v>699</v>
      </c>
      <c r="G19" s="2"/>
    </row>
    <row r="20" spans="1:7" x14ac:dyDescent="0.25">
      <c r="A20" s="1" t="s">
        <v>296</v>
      </c>
      <c r="B20" s="2">
        <v>435</v>
      </c>
      <c r="C20" s="2">
        <v>455</v>
      </c>
      <c r="D20" s="2">
        <v>380</v>
      </c>
      <c r="E20" s="2">
        <v>338</v>
      </c>
      <c r="F20" s="2">
        <v>465</v>
      </c>
      <c r="G20" s="2"/>
    </row>
    <row r="21" spans="1:7" x14ac:dyDescent="0.25">
      <c r="A21" s="1" t="s">
        <v>297</v>
      </c>
      <c r="B21" s="2">
        <v>3009</v>
      </c>
      <c r="C21" s="2">
        <v>2266</v>
      </c>
      <c r="D21" s="2">
        <v>2115</v>
      </c>
      <c r="E21" s="2">
        <v>1823</v>
      </c>
      <c r="F21" s="2">
        <v>2019</v>
      </c>
      <c r="G21" s="2"/>
    </row>
    <row r="22" spans="1:7" x14ac:dyDescent="0.25">
      <c r="A22" s="1" t="s">
        <v>298</v>
      </c>
      <c r="B22" s="2">
        <v>1290</v>
      </c>
      <c r="C22" s="2">
        <v>1379</v>
      </c>
      <c r="D22" s="2">
        <v>1289</v>
      </c>
      <c r="E22" s="2">
        <v>1231</v>
      </c>
      <c r="F22" s="2">
        <v>1591</v>
      </c>
      <c r="G22" s="2"/>
    </row>
    <row r="23" spans="1:7" x14ac:dyDescent="0.25">
      <c r="A23" s="1" t="s">
        <v>215</v>
      </c>
      <c r="B23" s="2">
        <v>1009</v>
      </c>
      <c r="C23" s="2">
        <v>1193</v>
      </c>
      <c r="D23" s="2">
        <v>1220</v>
      </c>
      <c r="E23" s="2">
        <v>1127</v>
      </c>
      <c r="F23" s="2">
        <v>1127</v>
      </c>
      <c r="G23" s="2"/>
    </row>
    <row r="24" spans="1:7" x14ac:dyDescent="0.25">
      <c r="A24" s="1" t="s">
        <v>299</v>
      </c>
      <c r="B24" s="1"/>
      <c r="C24" s="1"/>
      <c r="D24" s="1"/>
      <c r="E24" s="1"/>
      <c r="F24" s="1"/>
      <c r="G24" s="2"/>
    </row>
    <row r="25" spans="1:7" x14ac:dyDescent="0.25">
      <c r="A25" s="1" t="s">
        <v>227</v>
      </c>
      <c r="B25" s="2">
        <v>6026</v>
      </c>
      <c r="C25" s="2">
        <v>5494</v>
      </c>
      <c r="D25" s="2">
        <v>5463</v>
      </c>
      <c r="E25" s="2">
        <v>4872</v>
      </c>
      <c r="F25" s="2">
        <v>5069</v>
      </c>
      <c r="G25" s="2"/>
    </row>
    <row r="26" spans="1:7" x14ac:dyDescent="0.25">
      <c r="A26" s="1" t="s">
        <v>228</v>
      </c>
      <c r="B26" s="2">
        <f>IF(COUNT(History!B27,History!B51)=2,History!B27-History!B51,"")</f>
        <v>7543</v>
      </c>
      <c r="C26" s="2">
        <f>IF(COUNT(History!C27,History!C51)=2,History!C27-History!C51,"")</f>
        <v>7699</v>
      </c>
      <c r="D26" s="2">
        <f>IF(COUNT(History!D27,History!D51)=2,History!D27-History!D51,"")</f>
        <v>7089</v>
      </c>
      <c r="E26" s="2">
        <f>IF(COUNT(History!E27,History!E51)=2,History!E27-History!E51,"")</f>
        <v>6255</v>
      </c>
      <c r="F26" s="2">
        <f>IF(COUNT(History!F27,History!F51)=2,History!F27-History!F51,"")</f>
        <v>6348</v>
      </c>
      <c r="G26" s="2"/>
    </row>
    <row r="27" spans="1:7" x14ac:dyDescent="0.25">
      <c r="A27" s="1" t="s">
        <v>300</v>
      </c>
      <c r="B27" s="2">
        <v>6026</v>
      </c>
      <c r="C27" s="2">
        <v>5494</v>
      </c>
      <c r="D27" s="2">
        <v>5463</v>
      </c>
      <c r="E27" s="2">
        <v>4872</v>
      </c>
      <c r="F27" s="2">
        <v>5069</v>
      </c>
      <c r="G27" s="2"/>
    </row>
    <row r="28" spans="1:7" x14ac:dyDescent="0.25">
      <c r="A28" s="1" t="s">
        <v>301</v>
      </c>
      <c r="B28" s="2">
        <v>-1518</v>
      </c>
      <c r="C28" s="2">
        <v>-2206</v>
      </c>
      <c r="D28" s="2">
        <v>-1627</v>
      </c>
      <c r="E28" s="2">
        <v>-1385</v>
      </c>
      <c r="F28" s="2">
        <v>-1281</v>
      </c>
      <c r="G28" s="2"/>
    </row>
    <row r="29" spans="1:7" x14ac:dyDescent="0.25">
      <c r="A29" s="1" t="s">
        <v>302</v>
      </c>
      <c r="B29" s="2">
        <v>-1517</v>
      </c>
      <c r="C29" s="2">
        <v>-2205</v>
      </c>
      <c r="D29" s="2">
        <v>-1626</v>
      </c>
      <c r="E29" s="2">
        <v>-1383</v>
      </c>
      <c r="F29" s="2">
        <v>-1279</v>
      </c>
      <c r="G29" s="2"/>
    </row>
    <row r="30" spans="1:7" x14ac:dyDescent="0.25">
      <c r="A30" s="1" t="s">
        <v>303</v>
      </c>
      <c r="B30" s="2">
        <v>1</v>
      </c>
      <c r="C30" s="2">
        <v>1</v>
      </c>
      <c r="D30" s="2">
        <v>1</v>
      </c>
      <c r="E30" s="2">
        <v>2</v>
      </c>
      <c r="F30" s="2">
        <v>2</v>
      </c>
      <c r="G30" s="2"/>
    </row>
    <row r="31" spans="1:7" x14ac:dyDescent="0.25">
      <c r="A31" s="1" t="s">
        <v>223</v>
      </c>
      <c r="B31" s="2"/>
      <c r="C31" s="2"/>
      <c r="D31" s="2"/>
      <c r="E31" s="2">
        <v>0</v>
      </c>
      <c r="F31" s="2">
        <v>280</v>
      </c>
      <c r="G31" s="2"/>
    </row>
    <row r="32" spans="1:7" x14ac:dyDescent="0.25">
      <c r="A32" s="1" t="s">
        <v>224</v>
      </c>
      <c r="B32" s="2">
        <v>4854</v>
      </c>
      <c r="C32" s="2">
        <v>4862</v>
      </c>
      <c r="D32" s="2">
        <v>4388</v>
      </c>
      <c r="E32" s="2">
        <v>3884</v>
      </c>
      <c r="F32" s="2">
        <v>3612</v>
      </c>
      <c r="G32" s="2"/>
    </row>
    <row r="33" spans="1:7" x14ac:dyDescent="0.25">
      <c r="A33" s="1" t="s">
        <v>304</v>
      </c>
      <c r="B33" s="2">
        <v>363</v>
      </c>
      <c r="C33" s="2">
        <v>221</v>
      </c>
      <c r="D33" s="2">
        <v>269</v>
      </c>
      <c r="E33" s="2">
        <v>282</v>
      </c>
      <c r="F33" s="2">
        <v>254</v>
      </c>
      <c r="G33" s="2">
        <f t="shared" ref="G33:G38" si="0">E60</f>
        <v>246</v>
      </c>
    </row>
    <row r="34" spans="1:7" x14ac:dyDescent="0.25">
      <c r="A34" s="1" t="s">
        <v>305</v>
      </c>
      <c r="B34" s="2">
        <v>46</v>
      </c>
      <c r="C34" s="2">
        <v>38</v>
      </c>
      <c r="D34" s="2">
        <v>43</v>
      </c>
      <c r="E34" s="2">
        <v>40</v>
      </c>
      <c r="F34" s="2">
        <v>31</v>
      </c>
      <c r="G34" s="2">
        <f t="shared" si="0"/>
        <v>23</v>
      </c>
    </row>
    <row r="35" spans="1:7" x14ac:dyDescent="0.25">
      <c r="A35" s="1" t="s">
        <v>306</v>
      </c>
      <c r="B35" s="2">
        <v>-270</v>
      </c>
      <c r="C35" s="2">
        <v>-328</v>
      </c>
      <c r="D35" s="2">
        <v>-298</v>
      </c>
      <c r="E35" s="2">
        <v>-226</v>
      </c>
      <c r="F35" s="2">
        <v>-237</v>
      </c>
      <c r="G35" s="2">
        <f t="shared" si="0"/>
        <v>-242</v>
      </c>
    </row>
    <row r="36" spans="1:7" x14ac:dyDescent="0.25">
      <c r="A36" s="1" t="s">
        <v>307</v>
      </c>
      <c r="B36" s="2">
        <v>1492</v>
      </c>
      <c r="C36" s="2">
        <v>1144</v>
      </c>
      <c r="D36" s="2">
        <v>954</v>
      </c>
      <c r="E36" s="2">
        <v>886</v>
      </c>
      <c r="F36" s="2">
        <v>1102</v>
      </c>
      <c r="G36" s="2">
        <f t="shared" si="0"/>
        <v>1273</v>
      </c>
    </row>
    <row r="37" spans="1:7" x14ac:dyDescent="0.25">
      <c r="A37" s="1" t="s">
        <v>308</v>
      </c>
      <c r="B37" s="2">
        <v>-259</v>
      </c>
      <c r="C37" s="2">
        <v>-328</v>
      </c>
      <c r="D37" s="2">
        <v>-286</v>
      </c>
      <c r="E37" s="2">
        <v>-162</v>
      </c>
      <c r="F37" s="2">
        <v>-227</v>
      </c>
      <c r="G37" s="2">
        <f t="shared" si="0"/>
        <v>-221</v>
      </c>
    </row>
    <row r="38" spans="1:7" x14ac:dyDescent="0.25">
      <c r="A38" s="1" t="s">
        <v>309</v>
      </c>
      <c r="B38" s="2">
        <v>-3188</v>
      </c>
      <c r="C38" s="2">
        <v>-1562</v>
      </c>
      <c r="D38" s="2">
        <v>-815</v>
      </c>
      <c r="E38" s="2">
        <v>-1132</v>
      </c>
      <c r="F38" s="2">
        <v>-599</v>
      </c>
      <c r="G38" s="2">
        <f t="shared" si="0"/>
        <v>-621</v>
      </c>
    </row>
    <row r="39" spans="1:7" x14ac:dyDescent="0.25">
      <c r="A39" s="1" t="s">
        <v>310</v>
      </c>
      <c r="B39" s="2">
        <v>4027</v>
      </c>
      <c r="C39" s="2">
        <v>4305</v>
      </c>
      <c r="D39" s="2">
        <v>4193</v>
      </c>
      <c r="E39" s="2">
        <v>4073</v>
      </c>
      <c r="F39" s="2">
        <v>4102</v>
      </c>
      <c r="G39" s="2">
        <f>E71</f>
        <v>4028</v>
      </c>
    </row>
    <row r="40" spans="1:7" x14ac:dyDescent="0.25">
      <c r="A40" s="1" t="s">
        <v>311</v>
      </c>
      <c r="B40" s="2">
        <v>1846</v>
      </c>
      <c r="C40" s="2">
        <v>1879</v>
      </c>
      <c r="D40" s="2">
        <v>1951</v>
      </c>
      <c r="E40" s="2">
        <v>1968</v>
      </c>
      <c r="F40" s="2">
        <v>2063</v>
      </c>
      <c r="G40" s="2">
        <f>E72</f>
        <v>1975</v>
      </c>
    </row>
    <row r="41" spans="1:7" x14ac:dyDescent="0.25">
      <c r="A41" s="1" t="s">
        <v>312</v>
      </c>
      <c r="B41" s="1"/>
      <c r="C41" s="1"/>
      <c r="D41" s="1"/>
      <c r="E41" s="1"/>
      <c r="F41" s="1"/>
      <c r="G41" s="1"/>
    </row>
    <row r="42" spans="1:7" x14ac:dyDescent="0.25">
      <c r="A42" s="1" t="s">
        <v>313</v>
      </c>
      <c r="B42" s="2">
        <v>5873</v>
      </c>
      <c r="C42" s="2">
        <v>6184</v>
      </c>
      <c r="D42" s="2">
        <v>6144</v>
      </c>
      <c r="E42" s="2">
        <v>6041</v>
      </c>
      <c r="F42" s="2">
        <v>6165</v>
      </c>
      <c r="G42" s="2"/>
    </row>
    <row r="43" spans="1:7" x14ac:dyDescent="0.25">
      <c r="A43" s="1" t="s">
        <v>314</v>
      </c>
      <c r="B43" s="2">
        <v>1030</v>
      </c>
      <c r="C43" s="2">
        <v>1034</v>
      </c>
      <c r="D43" s="2">
        <v>1031</v>
      </c>
      <c r="E43" s="2">
        <v>1149</v>
      </c>
      <c r="F43" s="2">
        <v>1066</v>
      </c>
      <c r="G43" s="2"/>
    </row>
    <row r="44" spans="1:7" x14ac:dyDescent="0.25">
      <c r="A44" s="1" t="s">
        <v>315</v>
      </c>
      <c r="B44" s="2">
        <v>1290</v>
      </c>
      <c r="C44" s="2">
        <v>1379</v>
      </c>
      <c r="D44" s="2">
        <v>1289</v>
      </c>
      <c r="E44" s="2">
        <v>1231</v>
      </c>
      <c r="F44" s="2">
        <v>1311</v>
      </c>
      <c r="G44" s="2"/>
    </row>
    <row r="45" spans="1:7" x14ac:dyDescent="0.25">
      <c r="A45" s="1" t="s">
        <v>316</v>
      </c>
      <c r="B45" s="2">
        <v>348</v>
      </c>
      <c r="C45" s="2">
        <v>251</v>
      </c>
      <c r="D45" s="2">
        <v>143</v>
      </c>
      <c r="E45" s="2">
        <v>230</v>
      </c>
      <c r="F45" s="2">
        <v>233</v>
      </c>
      <c r="G45" s="2"/>
    </row>
    <row r="46" spans="1:7" x14ac:dyDescent="0.25">
      <c r="A46" s="1" t="s">
        <v>317</v>
      </c>
      <c r="B46" s="2"/>
      <c r="C46" s="2"/>
      <c r="D46" s="2"/>
      <c r="E46" s="2"/>
      <c r="F46" s="2"/>
      <c r="G46" s="2">
        <f>E59</f>
        <v>190</v>
      </c>
    </row>
    <row r="47" spans="1:7" x14ac:dyDescent="0.25">
      <c r="A47" s="1" t="s">
        <v>318</v>
      </c>
      <c r="B47" s="2"/>
      <c r="C47" s="2"/>
      <c r="D47" s="2"/>
      <c r="E47" s="2"/>
      <c r="F47" s="2"/>
      <c r="G47" s="2">
        <f>E68</f>
        <v>6003</v>
      </c>
    </row>
    <row r="48" spans="1:7" x14ac:dyDescent="0.25">
      <c r="A48" s="1" t="s">
        <v>319</v>
      </c>
      <c r="B48" s="2"/>
      <c r="C48" s="2"/>
      <c r="D48" s="2"/>
      <c r="E48" s="2"/>
      <c r="F48" s="2"/>
      <c r="G48" s="2">
        <f>E69</f>
        <v>0</v>
      </c>
    </row>
    <row r="49" spans="1:7" x14ac:dyDescent="0.25">
      <c r="A49" s="1" t="s">
        <v>320</v>
      </c>
      <c r="B49" s="2"/>
      <c r="C49" s="2"/>
      <c r="D49" s="2"/>
      <c r="E49" s="2"/>
      <c r="F49" s="2"/>
      <c r="G49" s="2">
        <f>E70</f>
        <v>0</v>
      </c>
    </row>
    <row r="50" spans="1:7" x14ac:dyDescent="0.25">
      <c r="A50" s="1" t="s">
        <v>321</v>
      </c>
      <c r="B50" s="2">
        <f>IF(COUNT(History!B7,History!B10)=2,History!B7-History!B10,"")</f>
        <v>5873</v>
      </c>
      <c r="C50" s="2">
        <f>IF(COUNT(History!C7,History!C10)=2,History!C7-History!C10,"")</f>
        <v>6184</v>
      </c>
      <c r="D50" s="2">
        <f>IF(COUNT(History!D7,History!D10)=2,History!D7-History!D10,"")</f>
        <v>6144</v>
      </c>
      <c r="E50" s="2">
        <f>IF(COUNT(History!E7,History!E10)=2,History!E7-History!E10,"")</f>
        <v>6041</v>
      </c>
      <c r="F50" s="2">
        <f>IF(COUNT(History!F7,History!F10)=2,History!F7-History!F10,"")</f>
        <v>6165</v>
      </c>
      <c r="G50" s="2">
        <f>IF(COUNT(History!G7,History!G10)=2,History!G7-History!G10,"")</f>
        <v>6003</v>
      </c>
    </row>
    <row r="51" spans="1:7" x14ac:dyDescent="0.25">
      <c r="A51" s="1" t="s">
        <v>226</v>
      </c>
      <c r="B51" s="1">
        <f>History!B29</f>
        <v>-1517</v>
      </c>
      <c r="C51" s="1">
        <f>History!C29</f>
        <v>-2205</v>
      </c>
      <c r="D51" s="1">
        <f>History!D29</f>
        <v>-1626</v>
      </c>
      <c r="E51" s="1">
        <f>History!E29</f>
        <v>-1383</v>
      </c>
      <c r="F51" s="1">
        <f>History!F29</f>
        <v>-1279</v>
      </c>
      <c r="G51" s="2"/>
    </row>
    <row r="52" spans="1:7" x14ac:dyDescent="0.25">
      <c r="A52" s="1" t="s">
        <v>322</v>
      </c>
      <c r="B52" s="2">
        <f>IF(COUNT(History!B36,History!B37)=2,History!B36+History!B37,"")</f>
        <v>1233</v>
      </c>
      <c r="C52" s="2">
        <f>IF(COUNT(History!C36,History!C37)=2,History!C36+History!C37,"")</f>
        <v>816</v>
      </c>
      <c r="D52" s="2">
        <f>IF(COUNT(History!D36,History!D37)=2,History!D36+History!D37,"")</f>
        <v>668</v>
      </c>
      <c r="E52" s="2">
        <f>IF(COUNT(History!E36,History!E37)=2,History!E36+History!E37,"")</f>
        <v>724</v>
      </c>
      <c r="F52" s="2">
        <f>IF(COUNT(History!F36,History!F37)=2,History!F36+History!F37,"")</f>
        <v>875</v>
      </c>
      <c r="G52" s="2">
        <f>IF(COUNT(History!G36,History!G37)=2,History!G36+History!G37,"")</f>
        <v>1052</v>
      </c>
    </row>
    <row r="53" spans="1:7" x14ac:dyDescent="0.25">
      <c r="A53" s="1"/>
      <c r="B53" s="2"/>
      <c r="C53" s="2"/>
      <c r="D53" s="2"/>
      <c r="E53" s="2"/>
      <c r="F53" s="2"/>
      <c r="G53" s="2"/>
    </row>
    <row r="54" spans="1:7" x14ac:dyDescent="0.25">
      <c r="A54" s="1" t="s">
        <v>323</v>
      </c>
      <c r="B54" s="2"/>
      <c r="C54" s="2"/>
      <c r="D54" s="2"/>
      <c r="E54" s="2"/>
      <c r="F54" s="2"/>
      <c r="G54" s="2"/>
    </row>
    <row r="55" spans="1:7" x14ac:dyDescent="0.25">
      <c r="A55" s="1" t="s">
        <v>2</v>
      </c>
      <c r="B55" s="2" t="s">
        <v>324</v>
      </c>
      <c r="C55" s="2" t="s">
        <v>325</v>
      </c>
      <c r="D55" s="2" t="s">
        <v>326</v>
      </c>
      <c r="E55" s="2" t="s">
        <v>327</v>
      </c>
      <c r="F55" s="2"/>
      <c r="G55" s="2"/>
    </row>
    <row r="56" spans="1:7" x14ac:dyDescent="0.25">
      <c r="A56" s="1" t="s">
        <v>284</v>
      </c>
      <c r="B56" s="2">
        <v>7291</v>
      </c>
      <c r="C56" s="2">
        <v>2892</v>
      </c>
      <c r="D56" s="2">
        <v>2974</v>
      </c>
      <c r="E56" s="1">
        <f t="shared" ref="E56:E72" si="1">B56+C56-D56</f>
        <v>7209</v>
      </c>
      <c r="F56" s="2"/>
      <c r="G56" s="2"/>
    </row>
    <row r="57" spans="1:7" x14ac:dyDescent="0.25">
      <c r="A57" s="1" t="s">
        <v>287</v>
      </c>
      <c r="B57" s="2">
        <v>1126</v>
      </c>
      <c r="C57" s="2">
        <v>447</v>
      </c>
      <c r="D57" s="2">
        <v>367</v>
      </c>
      <c r="E57" s="1">
        <f t="shared" si="1"/>
        <v>1206</v>
      </c>
      <c r="F57" s="2"/>
      <c r="G57" s="2"/>
    </row>
    <row r="58" spans="1:7" x14ac:dyDescent="0.25">
      <c r="A58" s="1" t="s">
        <v>290</v>
      </c>
      <c r="B58" s="2">
        <v>649</v>
      </c>
      <c r="C58" s="2">
        <v>301</v>
      </c>
      <c r="D58" s="2">
        <v>169</v>
      </c>
      <c r="E58" s="1">
        <f t="shared" si="1"/>
        <v>781</v>
      </c>
      <c r="F58" s="2"/>
      <c r="G58" s="2"/>
    </row>
    <row r="59" spans="1:7" x14ac:dyDescent="0.25">
      <c r="A59" s="1" t="s">
        <v>317</v>
      </c>
      <c r="B59" s="2">
        <v>233</v>
      </c>
      <c r="C59" s="2">
        <v>29</v>
      </c>
      <c r="D59" s="2">
        <v>72</v>
      </c>
      <c r="E59" s="1">
        <f t="shared" si="1"/>
        <v>190</v>
      </c>
      <c r="F59" s="2"/>
      <c r="G59" s="2"/>
    </row>
    <row r="60" spans="1:7" x14ac:dyDescent="0.25">
      <c r="A60" s="1" t="s">
        <v>304</v>
      </c>
      <c r="B60" s="2">
        <v>254</v>
      </c>
      <c r="C60" s="2">
        <v>120</v>
      </c>
      <c r="D60" s="2">
        <v>128</v>
      </c>
      <c r="E60" s="1">
        <f t="shared" si="1"/>
        <v>246</v>
      </c>
      <c r="F60" s="2"/>
      <c r="G60" s="2"/>
    </row>
    <row r="61" spans="1:7" x14ac:dyDescent="0.25">
      <c r="A61" s="1" t="s">
        <v>305</v>
      </c>
      <c r="B61" s="2">
        <v>31</v>
      </c>
      <c r="C61" s="2">
        <v>10</v>
      </c>
      <c r="D61" s="2">
        <v>18</v>
      </c>
      <c r="E61" s="1">
        <f t="shared" si="1"/>
        <v>23</v>
      </c>
      <c r="F61" s="2"/>
      <c r="G61" s="2"/>
    </row>
    <row r="62" spans="1:7" x14ac:dyDescent="0.25">
      <c r="A62" s="1" t="s">
        <v>306</v>
      </c>
      <c r="B62" s="2">
        <v>-237</v>
      </c>
      <c r="C62" s="2">
        <v>-98</v>
      </c>
      <c r="D62" s="2">
        <v>-93</v>
      </c>
      <c r="E62" s="1">
        <f t="shared" si="1"/>
        <v>-242</v>
      </c>
      <c r="F62" s="2"/>
      <c r="G62" s="2"/>
    </row>
    <row r="63" spans="1:7" x14ac:dyDescent="0.25">
      <c r="A63" s="1" t="s">
        <v>307</v>
      </c>
      <c r="B63" s="2">
        <v>1102</v>
      </c>
      <c r="C63" s="2">
        <v>316</v>
      </c>
      <c r="D63" s="2">
        <v>145</v>
      </c>
      <c r="E63" s="1">
        <f t="shared" si="1"/>
        <v>1273</v>
      </c>
      <c r="F63" s="2"/>
      <c r="G63" s="2"/>
    </row>
    <row r="64" spans="1:7" x14ac:dyDescent="0.25">
      <c r="A64" s="1" t="s">
        <v>308</v>
      </c>
      <c r="B64" s="2">
        <v>-227</v>
      </c>
      <c r="C64" s="2">
        <v>-89</v>
      </c>
      <c r="D64" s="2">
        <v>-95</v>
      </c>
      <c r="E64" s="1">
        <f t="shared" si="1"/>
        <v>-221</v>
      </c>
      <c r="F64" s="2"/>
      <c r="G64" s="2"/>
    </row>
    <row r="65" spans="1:7" x14ac:dyDescent="0.25">
      <c r="A65" s="1" t="s">
        <v>309</v>
      </c>
      <c r="B65" s="2">
        <v>-599</v>
      </c>
      <c r="C65" s="2">
        <v>-384</v>
      </c>
      <c r="D65" s="2">
        <v>-362</v>
      </c>
      <c r="E65" s="1">
        <f t="shared" si="1"/>
        <v>-621</v>
      </c>
      <c r="F65" s="2"/>
      <c r="G65" s="2"/>
    </row>
    <row r="66" spans="1:7" x14ac:dyDescent="0.25">
      <c r="A66" s="1" t="s">
        <v>289</v>
      </c>
      <c r="B66" s="2">
        <v>-233</v>
      </c>
      <c r="C66" s="2">
        <v>-29</v>
      </c>
      <c r="D66" s="2">
        <v>-72</v>
      </c>
      <c r="E66" s="1">
        <f t="shared" si="1"/>
        <v>-190</v>
      </c>
      <c r="F66" s="2"/>
      <c r="G66" s="2"/>
    </row>
    <row r="67" spans="1:7" x14ac:dyDescent="0.25">
      <c r="A67" s="1" t="s">
        <v>288</v>
      </c>
      <c r="B67" s="2">
        <v>882</v>
      </c>
      <c r="C67" s="2">
        <v>330</v>
      </c>
      <c r="D67" s="2">
        <v>241</v>
      </c>
      <c r="E67" s="1">
        <f t="shared" si="1"/>
        <v>971</v>
      </c>
      <c r="F67" s="2"/>
      <c r="G67" s="2"/>
    </row>
    <row r="68" spans="1:7" x14ac:dyDescent="0.25">
      <c r="A68" s="1" t="s">
        <v>318</v>
      </c>
      <c r="B68" s="2">
        <v>6165</v>
      </c>
      <c r="C68" s="2">
        <v>2445</v>
      </c>
      <c r="D68" s="2">
        <v>2607</v>
      </c>
      <c r="E68" s="1">
        <f t="shared" si="1"/>
        <v>6003</v>
      </c>
      <c r="F68" s="2"/>
      <c r="G68" s="2"/>
    </row>
    <row r="69" spans="1:7" x14ac:dyDescent="0.25">
      <c r="A69" s="1" t="s">
        <v>319</v>
      </c>
      <c r="B69" s="2">
        <v>0</v>
      </c>
      <c r="C69" s="2">
        <v>0</v>
      </c>
      <c r="D69" s="2">
        <v>0</v>
      </c>
      <c r="E69" s="1">
        <f t="shared" si="1"/>
        <v>0</v>
      </c>
      <c r="F69" s="2"/>
      <c r="G69" s="2"/>
    </row>
    <row r="70" spans="1:7" x14ac:dyDescent="0.25">
      <c r="A70" s="1" t="s">
        <v>320</v>
      </c>
      <c r="B70" s="2">
        <v>0</v>
      </c>
      <c r="C70" s="2">
        <v>0</v>
      </c>
      <c r="D70" s="2">
        <v>0</v>
      </c>
      <c r="E70" s="1">
        <f t="shared" si="1"/>
        <v>0</v>
      </c>
      <c r="F70" s="2"/>
      <c r="G70" s="2"/>
    </row>
    <row r="71" spans="1:7" x14ac:dyDescent="0.25">
      <c r="A71" s="1" t="s">
        <v>310</v>
      </c>
      <c r="B71" s="2">
        <v>4102</v>
      </c>
      <c r="C71" s="2">
        <v>1613</v>
      </c>
      <c r="D71" s="2">
        <v>1687</v>
      </c>
      <c r="E71" s="1">
        <f t="shared" si="1"/>
        <v>4028</v>
      </c>
      <c r="F71" s="2"/>
      <c r="G71" s="2"/>
    </row>
    <row r="72" spans="1:7" x14ac:dyDescent="0.25">
      <c r="A72" s="1" t="s">
        <v>311</v>
      </c>
      <c r="B72" s="2">
        <v>2063</v>
      </c>
      <c r="C72" s="2">
        <v>832</v>
      </c>
      <c r="D72" s="2">
        <v>920</v>
      </c>
      <c r="E72" s="1">
        <f t="shared" si="1"/>
        <v>1975</v>
      </c>
      <c r="F72" s="2"/>
      <c r="G72" s="2"/>
    </row>
    <row r="73" spans="1:7" x14ac:dyDescent="0.25">
      <c r="A73" s="1"/>
      <c r="B73" s="2"/>
      <c r="C73" s="2"/>
      <c r="D73" s="2"/>
      <c r="E73" s="2"/>
      <c r="F73" s="2"/>
      <c r="G73" s="2"/>
    </row>
    <row r="74" spans="1:7" x14ac:dyDescent="0.25">
      <c r="A74" s="1" t="s">
        <v>328</v>
      </c>
      <c r="B74" s="2"/>
      <c r="C74" s="2"/>
      <c r="D74" s="2"/>
      <c r="E74" s="2"/>
      <c r="F74" s="2"/>
      <c r="G74" s="2"/>
    </row>
    <row r="75" spans="1:7" x14ac:dyDescent="0.25">
      <c r="A75" s="1" t="s">
        <v>329</v>
      </c>
      <c r="B75" s="2"/>
      <c r="C75" s="2"/>
      <c r="D75" s="2"/>
      <c r="E75" s="2"/>
      <c r="F75" s="2"/>
      <c r="G75" s="2"/>
    </row>
    <row r="76" spans="1:7" x14ac:dyDescent="0.25">
      <c r="A76" s="1" t="s">
        <v>330</v>
      </c>
      <c r="B76" s="2"/>
      <c r="C76" s="2"/>
      <c r="D76" s="2"/>
      <c r="E76" s="2"/>
      <c r="F76" s="2"/>
      <c r="G76" s="2"/>
    </row>
    <row r="77" spans="1:7" x14ac:dyDescent="0.25">
      <c r="A77" s="1" t="s">
        <v>331</v>
      </c>
      <c r="B77" s="2">
        <v>364</v>
      </c>
      <c r="C77" s="2">
        <v>364</v>
      </c>
      <c r="D77" s="2">
        <v>371</v>
      </c>
      <c r="E77" s="2">
        <v>364</v>
      </c>
      <c r="F77" s="2">
        <v>364</v>
      </c>
      <c r="G77" s="2"/>
    </row>
  </sheetData>
  <mergeCells count="2">
    <mergeCell ref="A2:L2"/>
    <mergeCell ref="A1:L1"/>
  </mergeCells>
  <pageMargins left="0.7" right="0.7" top="0.75" bottom="0.75" header="0.3" footer="0.3"/>
  <pageSetup paperSize="9" scale="51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55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59.7109375" customWidth="1"/>
    <col min="2" max="12" width="17.7109375" customWidth="1"/>
  </cols>
  <sheetData>
    <row r="1" spans="1:12" ht="30" customHeight="1" x14ac:dyDescent="0.25">
      <c r="A1" s="42" t="s">
        <v>332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2.1" customHeight="1" x14ac:dyDescent="0.25">
      <c r="A2" s="41" t="s">
        <v>333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42" customHeight="1" x14ac:dyDescent="0.25">
      <c r="A3" s="3" t="s">
        <v>334</v>
      </c>
      <c r="B3" s="3" t="s">
        <v>335</v>
      </c>
    </row>
    <row r="4" spans="1:12" x14ac:dyDescent="0.25">
      <c r="A4" s="1" t="s">
        <v>72</v>
      </c>
      <c r="B4" s="2">
        <f>0.5</f>
        <v>0.5</v>
      </c>
    </row>
    <row r="5" spans="1:12" x14ac:dyDescent="0.25">
      <c r="A5" s="1" t="s">
        <v>197</v>
      </c>
      <c r="B5" s="2">
        <f>0.498630136986301</f>
        <v>0.49863013698630099</v>
      </c>
    </row>
    <row r="6" spans="1:12" x14ac:dyDescent="0.25">
      <c r="A6" s="1" t="s">
        <v>336</v>
      </c>
      <c r="B6" s="2">
        <f>(Inputs!$B$44-Inputs!$B$46)*(1+Inputs!$B$54)</f>
        <v>4230.66</v>
      </c>
    </row>
    <row r="7" spans="1:12" x14ac:dyDescent="0.25">
      <c r="A7" s="1" t="s">
        <v>337</v>
      </c>
      <c r="B7" s="2">
        <f>(Inputs!$B$48-Inputs!$B$50)*(1+Inputs!$B$55)</f>
        <v>0</v>
      </c>
    </row>
    <row r="8" spans="1:12" x14ac:dyDescent="0.25">
      <c r="A8" s="1" t="s">
        <v>73</v>
      </c>
      <c r="B8" s="2">
        <f>SUM(B6:B7)</f>
        <v>4230.66</v>
      </c>
    </row>
    <row r="9" spans="1:12" x14ac:dyDescent="0.25">
      <c r="A9" s="1" t="s">
        <v>338</v>
      </c>
      <c r="B9" s="2">
        <f>B8*(Inputs!$B$66+Inputs!$B$67)</f>
        <v>3522.9091385767792</v>
      </c>
    </row>
    <row r="10" spans="1:12" x14ac:dyDescent="0.25">
      <c r="A10" s="1" t="s">
        <v>339</v>
      </c>
      <c r="B10" s="2">
        <f>B8*Inputs!$B$40/Inputs!$B$27</f>
        <v>0</v>
      </c>
    </row>
    <row r="11" spans="1:12" x14ac:dyDescent="0.25">
      <c r="A11" s="1" t="s">
        <v>340</v>
      </c>
      <c r="B11" s="2">
        <f>B8*Inputs!$B$41/Inputs!$B$27</f>
        <v>0</v>
      </c>
    </row>
    <row r="12" spans="1:12" x14ac:dyDescent="0.25">
      <c r="A12" s="1" t="s">
        <v>341</v>
      </c>
      <c r="B12" s="2">
        <f>SUM(B9:B11)</f>
        <v>3522.9091385767792</v>
      </c>
    </row>
    <row r="13" spans="1:12" x14ac:dyDescent="0.25">
      <c r="A13" s="1" t="s">
        <v>85</v>
      </c>
      <c r="B13" s="2">
        <f>B8*Inputs!$B$31/Inputs!$B$27</f>
        <v>144.36709113607989</v>
      </c>
    </row>
    <row r="14" spans="1:12" x14ac:dyDescent="0.25">
      <c r="A14" s="1" t="s">
        <v>89</v>
      </c>
      <c r="B14" s="2">
        <f>B20</f>
        <v>73.563114336246358</v>
      </c>
    </row>
    <row r="15" spans="1:12" x14ac:dyDescent="0.25">
      <c r="A15" s="1" t="s">
        <v>90</v>
      </c>
      <c r="B15" s="2">
        <f>B24</f>
        <v>0</v>
      </c>
    </row>
    <row r="16" spans="1:12" x14ac:dyDescent="0.25">
      <c r="A16" s="1" t="s">
        <v>91</v>
      </c>
      <c r="B16" s="2">
        <f>B8-B12+B13-B14-B15</f>
        <v>778.55483822305416</v>
      </c>
    </row>
    <row r="17" spans="1:2" x14ac:dyDescent="0.25">
      <c r="A17" s="1" t="s">
        <v>147</v>
      </c>
      <c r="B17" s="2">
        <f>B8*Inputs!$B$53/Inputs!$B$27</f>
        <v>144.36709113607989</v>
      </c>
    </row>
    <row r="18" spans="1:2" x14ac:dyDescent="0.25">
      <c r="A18" s="1" t="s">
        <v>148</v>
      </c>
      <c r="B18" s="2">
        <f>Inputs!$B$11</f>
        <v>1106</v>
      </c>
    </row>
    <row r="19" spans="1:2" x14ac:dyDescent="0.25">
      <c r="A19" s="1" t="s">
        <v>342</v>
      </c>
      <c r="B19" s="2">
        <f>B8*(-Inputs!$B$33)/Inputs!$B$27</f>
        <v>142.01965875988347</v>
      </c>
    </row>
    <row r="20" spans="1:2" x14ac:dyDescent="0.25">
      <c r="A20" s="1" t="s">
        <v>150</v>
      </c>
      <c r="B20" s="2">
        <f>MIN(B18,B18/Inputs!$B$56*B4)+MIN(B19,B19/Inputs!$B$56*0.5*B4)</f>
        <v>73.563114336246358</v>
      </c>
    </row>
    <row r="21" spans="1:2" x14ac:dyDescent="0.25">
      <c r="A21" s="1" t="s">
        <v>151</v>
      </c>
      <c r="B21" s="2">
        <f>B18+B19-B20</f>
        <v>1174.4565444236371</v>
      </c>
    </row>
    <row r="22" spans="1:2" x14ac:dyDescent="0.25">
      <c r="A22" s="1" t="s">
        <v>343</v>
      </c>
      <c r="B22" s="2">
        <f>Inputs!$B$12+Inputs!$B$13</f>
        <v>0</v>
      </c>
    </row>
    <row r="23" spans="1:2" x14ac:dyDescent="0.25">
      <c r="A23" s="1" t="s">
        <v>154</v>
      </c>
      <c r="B23" s="2">
        <f>B8*Inputs!$B$58</f>
        <v>0</v>
      </c>
    </row>
    <row r="24" spans="1:2" x14ac:dyDescent="0.25">
      <c r="A24" s="1" t="s">
        <v>156</v>
      </c>
      <c r="B24" s="2">
        <f>MIN(B22,B22/Inputs!$B$57*B4)+MIN(B23,B23/Inputs!$B$57*0.5*B4)</f>
        <v>0</v>
      </c>
    </row>
    <row r="25" spans="1:2" x14ac:dyDescent="0.25">
      <c r="A25" s="1" t="s">
        <v>157</v>
      </c>
      <c r="B25" s="2">
        <f>B22+B23-B24</f>
        <v>0</v>
      </c>
    </row>
    <row r="26" spans="1:2" x14ac:dyDescent="0.25">
      <c r="A26" s="1" t="s">
        <v>212</v>
      </c>
      <c r="B26" s="2">
        <f>Inputs!$B$7*B8/B4/Inputs!$B$27</f>
        <v>1474.1875322513524</v>
      </c>
    </row>
    <row r="27" spans="1:2" x14ac:dyDescent="0.25">
      <c r="A27" s="1" t="s">
        <v>161</v>
      </c>
      <c r="B27" s="2">
        <f>Inputs!$B$8*B8/B4/Inputs!$B$27</f>
        <v>0</v>
      </c>
    </row>
    <row r="28" spans="1:2" x14ac:dyDescent="0.25">
      <c r="A28" s="1" t="s">
        <v>162</v>
      </c>
      <c r="B28" s="2">
        <f>Inputs!$B$9*B9/B4/Inputs!$B$39</f>
        <v>0</v>
      </c>
    </row>
    <row r="29" spans="1:2" x14ac:dyDescent="0.25">
      <c r="A29" s="1" t="s">
        <v>164</v>
      </c>
      <c r="B29" s="2">
        <f>(Inputs!$B$10-Inputs!$B$13)*B8/B4/Inputs!$B$27</f>
        <v>0</v>
      </c>
    </row>
    <row r="30" spans="1:2" x14ac:dyDescent="0.25">
      <c r="A30" s="1" t="s">
        <v>115</v>
      </c>
      <c r="B30" s="2">
        <f>Inputs!$B$15*B9/B4/Inputs!$B$39</f>
        <v>1712.4519184352894</v>
      </c>
    </row>
    <row r="31" spans="1:2" x14ac:dyDescent="0.25">
      <c r="A31" s="1" t="s">
        <v>119</v>
      </c>
      <c r="B31" s="2">
        <f>Inputs!$B$16*B8/B4/Inputs!$B$27</f>
        <v>0</v>
      </c>
    </row>
    <row r="32" spans="1:2" x14ac:dyDescent="0.25">
      <c r="A32" s="1" t="s">
        <v>117</v>
      </c>
      <c r="B32" s="2">
        <f>Inputs!$B$17</f>
        <v>0</v>
      </c>
    </row>
    <row r="33" spans="1:2" x14ac:dyDescent="0.25">
      <c r="A33" s="1" t="s">
        <v>166</v>
      </c>
      <c r="B33" s="2">
        <f>SUM(B26:B29)-B30-B31</f>
        <v>-238.26438618393695</v>
      </c>
    </row>
    <row r="34" spans="1:2" x14ac:dyDescent="0.25">
      <c r="A34" s="1" t="s">
        <v>344</v>
      </c>
      <c r="B34" s="2">
        <f>B33-((Inputs!$B$7+Inputs!$B$8+Inputs!$B$9+Inputs!$B$10-Inputs!$B$13-Inputs!$B$15-Inputs!$B$16))</f>
        <v>-35.264386183936949</v>
      </c>
    </row>
    <row r="35" spans="1:2" x14ac:dyDescent="0.25">
      <c r="A35" s="1" t="s">
        <v>345</v>
      </c>
      <c r="B35" s="2">
        <f>(Inputs!$B$18+Inputs!$B$19+Inputs!$B$20)*Inputs!$B$63*B4</f>
        <v>117.455</v>
      </c>
    </row>
    <row r="36" spans="1:2" x14ac:dyDescent="0.25">
      <c r="A36" s="1" t="s">
        <v>95</v>
      </c>
      <c r="B36" s="2">
        <f>(Inputs!$B$5+Inputs!$B$6)*Inputs!$B$60*B4</f>
        <v>0</v>
      </c>
    </row>
    <row r="37" spans="1:2" x14ac:dyDescent="0.25">
      <c r="A37" s="1" t="s">
        <v>97</v>
      </c>
      <c r="B37" s="2">
        <f>B16-B35+B36</f>
        <v>661.09983822305412</v>
      </c>
    </row>
    <row r="38" spans="1:2" x14ac:dyDescent="0.25">
      <c r="A38" s="1" t="s">
        <v>98</v>
      </c>
      <c r="B38" s="2">
        <f>MAX(0,B37)*Inputs!$B$52</f>
        <v>129.3604214854586</v>
      </c>
    </row>
    <row r="39" spans="1:2" x14ac:dyDescent="0.25">
      <c r="A39" s="1" t="s">
        <v>100</v>
      </c>
      <c r="B39" s="2">
        <f>B37-B38</f>
        <v>531.73941673759555</v>
      </c>
    </row>
    <row r="40" spans="1:2" x14ac:dyDescent="0.25">
      <c r="A40" s="1" t="s">
        <v>131</v>
      </c>
      <c r="B40" s="2">
        <f>B8*Inputs!$B$32/Inputs!$B$27</f>
        <v>13.497736163129421</v>
      </c>
    </row>
    <row r="41" spans="1:2" x14ac:dyDescent="0.25">
      <c r="A41" s="1" t="s">
        <v>139</v>
      </c>
      <c r="B41" s="2">
        <f>MAX(0,B39)*Inputs!$B$59</f>
        <v>0</v>
      </c>
    </row>
    <row r="42" spans="1:2" x14ac:dyDescent="0.25">
      <c r="A42" s="1" t="s">
        <v>134</v>
      </c>
      <c r="B42" s="2">
        <f>B39+B20+B24+B40-B34</f>
        <v>654.06465342090826</v>
      </c>
    </row>
    <row r="43" spans="1:2" x14ac:dyDescent="0.25">
      <c r="A43" s="1" t="s">
        <v>137</v>
      </c>
      <c r="B43" s="2">
        <f>-B19-B23</f>
        <v>-142.01965875988347</v>
      </c>
    </row>
    <row r="44" spans="1:2" x14ac:dyDescent="0.25">
      <c r="A44" s="1" t="s">
        <v>140</v>
      </c>
      <c r="B44" s="2">
        <f>-B41</f>
        <v>0</v>
      </c>
    </row>
    <row r="45" spans="1:2" x14ac:dyDescent="0.25">
      <c r="A45" s="1" t="s">
        <v>141</v>
      </c>
      <c r="B45" s="2">
        <f>Inputs!$B$4</f>
        <v>794</v>
      </c>
    </row>
    <row r="46" spans="1:2" x14ac:dyDescent="0.25">
      <c r="A46" s="1" t="s">
        <v>142</v>
      </c>
      <c r="B46" s="2">
        <f>B45+B42+B43+B44</f>
        <v>1306.0449946610247</v>
      </c>
    </row>
    <row r="47" spans="1:2" x14ac:dyDescent="0.25">
      <c r="A47" s="1" t="s">
        <v>121</v>
      </c>
      <c r="B47" s="2">
        <f>Inputs!$B$22</f>
        <v>-1054</v>
      </c>
    </row>
    <row r="48" spans="1:2" x14ac:dyDescent="0.25">
      <c r="A48" s="1" t="s">
        <v>124</v>
      </c>
      <c r="B48" s="2">
        <f>B47+B39+B40-B41</f>
        <v>-508.76284709927501</v>
      </c>
    </row>
    <row r="49" spans="1:2" x14ac:dyDescent="0.25">
      <c r="A49" s="1" t="s">
        <v>114</v>
      </c>
      <c r="B49" s="2">
        <f>B46+(Inputs!$B$5+Inputs!$B$6)+B21+B25+SUM(B26:B29)+Inputs!$B$14</f>
        <v>5954.6890713360144</v>
      </c>
    </row>
    <row r="50" spans="1:2" x14ac:dyDescent="0.25">
      <c r="A50" s="1" t="s">
        <v>120</v>
      </c>
      <c r="B50" s="2">
        <f>B30+B31+B32+(Inputs!$B$18+Inputs!$B$19+Inputs!$B$20)+Inputs!$B$21</f>
        <v>6463.4519184352894</v>
      </c>
    </row>
    <row r="51" spans="1:2" x14ac:dyDescent="0.25">
      <c r="A51" s="1" t="s">
        <v>346</v>
      </c>
      <c r="B51" s="2">
        <f>B49-B50-B48</f>
        <v>0</v>
      </c>
    </row>
    <row r="52" spans="1:2" x14ac:dyDescent="0.25">
      <c r="A52" s="1" t="s">
        <v>144</v>
      </c>
      <c r="B52" s="2">
        <f>B16-MAX(0,B16)*Inputs!$B$52+B20+B24-B19-B23-B34</f>
        <v>593.01930278213854</v>
      </c>
    </row>
    <row r="53" spans="1:2" x14ac:dyDescent="0.25">
      <c r="A53" s="1" t="s">
        <v>193</v>
      </c>
      <c r="B53" s="2">
        <f>B42+B43</f>
        <v>512.04499466102482</v>
      </c>
    </row>
    <row r="54" spans="1:2" x14ac:dyDescent="0.25">
      <c r="A54" s="1" t="s">
        <v>192</v>
      </c>
      <c r="B54" s="2">
        <f>B16-MAX(0,B16)*Inputs!$B$52</f>
        <v>626.21146102183866</v>
      </c>
    </row>
    <row r="55" spans="1:2" x14ac:dyDescent="0.25">
      <c r="A55" s="1" t="s">
        <v>196</v>
      </c>
      <c r="B55" s="2">
        <f>B21+B25+B33</f>
        <v>936.19215823970012</v>
      </c>
    </row>
  </sheetData>
  <mergeCells count="2">
    <mergeCell ref="A2:L2"/>
    <mergeCell ref="A1:L1"/>
  </mergeCells>
  <pageMargins left="0.7" right="0.7" top="0.75" bottom="0.75" header="0.3" footer="0.3"/>
  <pageSetup paperSize="9" scale="51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9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59.7109375" customWidth="1"/>
    <col min="2" max="12" width="17.7109375" customWidth="1"/>
  </cols>
  <sheetData>
    <row r="1" spans="1:12" ht="30" customHeight="1" x14ac:dyDescent="0.25">
      <c r="A1" s="42" t="s">
        <v>347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2.1" customHeight="1" x14ac:dyDescent="0.25">
      <c r="A2" s="41" t="s">
        <v>348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42" customHeight="1" x14ac:dyDescent="0.25">
      <c r="A3" s="3" t="s">
        <v>349</v>
      </c>
      <c r="B3" s="3" t="s">
        <v>335</v>
      </c>
      <c r="C3" s="3" t="s">
        <v>350</v>
      </c>
      <c r="D3" s="3" t="s">
        <v>351</v>
      </c>
      <c r="E3" s="3" t="s">
        <v>352</v>
      </c>
      <c r="F3" s="3" t="s">
        <v>353</v>
      </c>
      <c r="G3" s="3" t="s">
        <v>354</v>
      </c>
      <c r="H3" s="3" t="s">
        <v>355</v>
      </c>
      <c r="I3" s="3" t="s">
        <v>356</v>
      </c>
      <c r="J3" s="3" t="s">
        <v>357</v>
      </c>
      <c r="K3" s="3" t="s">
        <v>358</v>
      </c>
      <c r="L3" s="3" t="s">
        <v>359</v>
      </c>
    </row>
    <row r="4" spans="1:12" x14ac:dyDescent="0.25">
      <c r="A4" s="1" t="s">
        <v>360</v>
      </c>
      <c r="B4" s="2" t="str">
        <f>IF(ABS(Stub!B51)&lt;0.000001,"PASS","FAIL")</f>
        <v>PASS</v>
      </c>
      <c r="C4" s="2" t="str">
        <f>IF(ABS(BalanceSheet!H32)&lt;0.000001,"PASS","FAIL")</f>
        <v>PASS</v>
      </c>
      <c r="D4" s="2" t="str">
        <f>IF(ABS(BalanceSheet!I32)&lt;0.000001,"PASS","FAIL")</f>
        <v>PASS</v>
      </c>
      <c r="E4" s="2" t="str">
        <f>IF(ABS(BalanceSheet!J32)&lt;0.000001,"PASS","FAIL")</f>
        <v>PASS</v>
      </c>
      <c r="F4" s="2" t="str">
        <f>IF(ABS(BalanceSheet!K32)&lt;0.000001,"PASS","FAIL")</f>
        <v>PASS</v>
      </c>
      <c r="G4" s="2" t="str">
        <f>IF(ABS(BalanceSheet!L32)&lt;0.000001,"PASS","FAIL")</f>
        <v>PASS</v>
      </c>
      <c r="H4" s="2" t="str">
        <f>IF(ABS(BalanceSheet!M32)&lt;0.000001,"PASS","FAIL")</f>
        <v>PASS</v>
      </c>
      <c r="I4" s="2" t="str">
        <f>IF(ABS(BalanceSheet!N32)&lt;0.000001,"PASS","FAIL")</f>
        <v>PASS</v>
      </c>
      <c r="J4" s="2" t="str">
        <f>IF(ABS(BalanceSheet!O32)&lt;0.000001,"PASS","FAIL")</f>
        <v>PASS</v>
      </c>
      <c r="K4" s="2" t="str">
        <f>IF(ABS(BalanceSheet!P32)&lt;0.000001,"PASS","FAIL")</f>
        <v>PASS</v>
      </c>
      <c r="L4" s="2" t="str">
        <f>IF(ABS(BalanceSheet!Q32)&lt;0.000001,"PASS","FAIL")</f>
        <v>PASS</v>
      </c>
    </row>
    <row r="5" spans="1:12" x14ac:dyDescent="0.25">
      <c r="A5" s="1" t="s">
        <v>361</v>
      </c>
      <c r="B5" s="2" t="str">
        <f>IF(Stub!B46&gt;=0,"PASS","FAIL")</f>
        <v>PASS</v>
      </c>
      <c r="C5" s="2" t="str">
        <f>IF(CashFlow!H30&gt;=0,"PASS","FAIL")</f>
        <v>PASS</v>
      </c>
      <c r="D5" s="2" t="str">
        <f>IF(CashFlow!I30&gt;=0,"PASS","FAIL")</f>
        <v>PASS</v>
      </c>
      <c r="E5" s="2" t="str">
        <f>IF(CashFlow!J30&gt;=0,"PASS","FAIL")</f>
        <v>PASS</v>
      </c>
      <c r="F5" s="2" t="str">
        <f>IF(CashFlow!K30&gt;=0,"PASS","FAIL")</f>
        <v>PASS</v>
      </c>
      <c r="G5" s="2" t="str">
        <f>IF(CashFlow!L30&gt;=0,"PASS","FAIL")</f>
        <v>PASS</v>
      </c>
      <c r="H5" s="2" t="str">
        <f>IF(CashFlow!M30&gt;=0,"PASS","FAIL")</f>
        <v>PASS</v>
      </c>
      <c r="I5" s="2" t="str">
        <f>IF(CashFlow!N30&gt;=0,"PASS","FAIL")</f>
        <v>PASS</v>
      </c>
      <c r="J5" s="2" t="str">
        <f>IF(CashFlow!O30&gt;=0,"PASS","FAIL")</f>
        <v>PASS</v>
      </c>
      <c r="K5" s="2" t="str">
        <f>IF(CashFlow!P30&gt;=0,"PASS","FAIL")</f>
        <v>PASS</v>
      </c>
      <c r="L5" s="2" t="str">
        <f>IF(CashFlow!Q30&gt;=0,"PASS","FAIL")</f>
        <v>PASS</v>
      </c>
    </row>
    <row r="6" spans="1:12" x14ac:dyDescent="0.25">
      <c r="A6" s="1" t="s">
        <v>362</v>
      </c>
      <c r="B6" s="2" t="str">
        <f>IF(AND(Stub!B21&gt;=0,Stub!B25&gt;=0),"PASS","FAIL")</f>
        <v>PASS</v>
      </c>
      <c r="C6" s="2" t="str">
        <f>IF(AND(Assets!H14&gt;=0,Assets!H22&gt;=0),"PASS","FAIL")</f>
        <v>PASS</v>
      </c>
      <c r="D6" s="2" t="str">
        <f>IF(AND(Assets!I14&gt;=0,Assets!I22&gt;=0),"PASS","FAIL")</f>
        <v>PASS</v>
      </c>
      <c r="E6" s="2" t="str">
        <f>IF(AND(Assets!J14&gt;=0,Assets!J22&gt;=0),"PASS","FAIL")</f>
        <v>PASS</v>
      </c>
      <c r="F6" s="2" t="str">
        <f>IF(AND(Assets!K14&gt;=0,Assets!K22&gt;=0),"PASS","FAIL")</f>
        <v>PASS</v>
      </c>
      <c r="G6" s="2" t="str">
        <f>IF(AND(Assets!L14&gt;=0,Assets!L22&gt;=0),"PASS","FAIL")</f>
        <v>PASS</v>
      </c>
      <c r="H6" s="2" t="str">
        <f>IF(AND(Assets!M14&gt;=0,Assets!M22&gt;=0),"PASS","FAIL")</f>
        <v>PASS</v>
      </c>
      <c r="I6" s="2" t="str">
        <f>IF(AND(Assets!N14&gt;=0,Assets!N22&gt;=0),"PASS","FAIL")</f>
        <v>PASS</v>
      </c>
      <c r="J6" s="2" t="str">
        <f>IF(AND(Assets!O14&gt;=0,Assets!O22&gt;=0),"PASS","FAIL")</f>
        <v>PASS</v>
      </c>
      <c r="K6" s="2" t="str">
        <f>IF(AND(Assets!P14&gt;=0,Assets!P22&gt;=0),"PASS","FAIL")</f>
        <v>PASS</v>
      </c>
      <c r="L6" s="2" t="str">
        <f>IF(AND(Assets!Q14&gt;=0,Assets!Q22&gt;=0),"PASS","FAIL")</f>
        <v>PASS</v>
      </c>
    </row>
    <row r="7" spans="1:12" x14ac:dyDescent="0.25">
      <c r="A7" s="1" t="s">
        <v>363</v>
      </c>
      <c r="B7" s="2" t="str">
        <f>IFERROR(IF(AND(ISNUMBER(Inputs!B4),ISNUMBER(Inputs!B5),ISNUMBER(Inputs!B6),ISNUMBER(Inputs!B7),ISNUMBER(Inputs!B8),ISNUMBER(Inputs!B9),ISNUMBER(Inputs!B10),ISNUMBER(Inputs!B11),ISNUMBER(Inputs!B12),ISNUMBER(Inputs!B13),ISNUMBER(Inputs!B14),ISNUMBER(Inputs!B15),ISNUMBER(Inputs!B16),ISNUMBER(Inputs!B17),ISNUMBER(Inputs!B18),ISNUMBER(Inputs!B19),ISNUMBER(Inputs!B20),ISNUMBER(Inputs!B21),ISNUMBER(Inputs!B22),ISNUMBER(Inputs!B23),ISNUMBER(Inputs!B24),ISNUMBER(Inputs!B25),ISNUMBER(Inputs!B26),ISNUMBER(Inputs!B27),ISNUMBER(Inputs!B28),ISNUMBER(Inputs!B29),ISNUMBER(Inputs!B30),ISNUMBER(Inputs!B31),ISNUMBER(Inputs!B32),ISNUMBER(Inputs!B33),ISNUMBER(Inputs!B34),ISNUMBER(Inputs!B35),ISNUMBER(Inputs!B36),ISNUMBER(Inputs!B37),ISNUMBER(Inputs!B38),ISNUMBER(Inputs!B39),ISNUMBER(Inputs!B40),ISNUMBER(Inputs!B41),ISNUMBER(Inputs!B42),ISNUMBER(Inputs!B43),ISNUMBER(Inputs!B44),ISNUMBER(Inputs!B45),ISNUMBER(Inputs!B46),ISNUMBER(Inputs!B47),ISNUMBER(Inputs!B48),ISNUMBER(Inputs!B49),ISNUMBER(Inputs!B50),ISNUMBER(Inputs!B51),ISNUMBER(Inputs!B52),ISNUMBER(Inputs!B53),ISNUMBER(Inputs!B54),ISNUMBER(Inputs!B55),ISNUMBER(Inputs!B56),ISNUMBER(Inputs!B57),ISNUMBER(Inputs!B58),ISNUMBER(Inputs!B59),ISNUMBER(Inputs!B60),ISNUMBER(Inputs!B61),ISNUMBER(Inputs!B62),ISNUMBER(Inputs!B63),ISNUMBER(Inputs!B64),ISNUMBER(Inputs!B65),ISNUMBER(Inputs!B66),ISNUMBER(Inputs!B67),Inputs!$B$27&gt;0,Inputs!$B$52&gt;=0,Inputs!$B$52&lt;1,Inputs!$B$26&gt;0,Inputs!$B$54&gt;=-0.2,Inputs!$B$54&lt;=0.3,Inputs!$B$55&gt;=-0.2,Inputs!$B$55&lt;=0.3,Inputs!$B$56&gt;=2,Inputs!$B$56&lt;=20,Inputs!$B$57&gt;=2,Inputs!$B$57&lt;=15,Inputs!$B$58&gt;=0,Inputs!$B$58&lt;=0.08,Inputs!$B$59&gt;=0,Inputs!$B$59&lt;=0.8,Inputs!$B$60&gt;=0.01,Inputs!$B$60&lt;=0.1,Inputs!$B$61&gt;=0.02,Inputs!$B$61&lt;=0.1,Inputs!$B$62&gt;=0.5,Inputs!$B$62&lt;=2,Inputs!$B$63&gt;=0.01,Inputs!$B$63&lt;=0.12,Inputs!$B$64&gt;=0,Inputs!$B$64&lt;=0.04,Inputs!$B$65&gt;=0.01,Inputs!$B$65&lt;=1000000,Inputs!$B$66&gt;=0,Inputs!$B$66&lt;=2,Inputs!$B$67&gt;=0,Inputs!$B$67&lt;=2),"PASS","FAIL"),"FAIL")</f>
        <v>PASS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" t="s">
        <v>364</v>
      </c>
      <c r="B8" s="2" t="str">
        <f>IFERROR(IF(AND(Inputs!B4=SavedInputs!B4,Inputs!B5=SavedInputs!B5,Inputs!B6=SavedInputs!B6,Inputs!B7=SavedInputs!B7,Inputs!B8=SavedInputs!B8,Inputs!B9=SavedInputs!B9,Inputs!B10=SavedInputs!B10,Inputs!B11=SavedInputs!B11,Inputs!B12=SavedInputs!B12,Inputs!B13=SavedInputs!B13,Inputs!B14=SavedInputs!B14,Inputs!B15=SavedInputs!B15,Inputs!B16=SavedInputs!B16,Inputs!B17=SavedInputs!B17,Inputs!B18=SavedInputs!B18,Inputs!B19=SavedInputs!B19,Inputs!B20=SavedInputs!B20,Inputs!B21=SavedInputs!B21,Inputs!B22=SavedInputs!B22,Inputs!B23=SavedInputs!B23,Inputs!B24=SavedInputs!B24,Inputs!B25=SavedInputs!B25,Inputs!B26=SavedInputs!B26,Inputs!B27=SavedInputs!B27,Inputs!B28=SavedInputs!B28,Inputs!B29=SavedInputs!B29,Inputs!B30=SavedInputs!B30,Inputs!B31=SavedInputs!B31,Inputs!B32=SavedInputs!B32,Inputs!B33=SavedInputs!B33,Inputs!B34=SavedInputs!B34,Inputs!B35=SavedInputs!B35,Inputs!B36=SavedInputs!B36,Inputs!B37=SavedInputs!B37,Inputs!B38=SavedInputs!B38,Inputs!B39=SavedInputs!B39,Inputs!B40=SavedInputs!B40,Inputs!B41=SavedInputs!B41,Inputs!B42=SavedInputs!B42,Inputs!B43=SavedInputs!B43,Inputs!B44=SavedInputs!B44,Inputs!B45=SavedInputs!B45,Inputs!B46=SavedInputs!B46,Inputs!B47=SavedInputs!B47,Inputs!B48=SavedInputs!B48,Inputs!B49=SavedInputs!B49,Inputs!B50=SavedInputs!B50,Inputs!B51=SavedInputs!B51,Inputs!B52=SavedInputs!B52,Inputs!B53=SavedInputs!B53,Inputs!B54=SavedInputs!B54,Inputs!B55=SavedInputs!B55,Inputs!B56=SavedInputs!B56,Inputs!B57=SavedInputs!B57,Inputs!B58=SavedInputs!B58,Inputs!B59=SavedInputs!B59,Inputs!B60=SavedInputs!B60,Inputs!B61=SavedInputs!B61,Inputs!B62=SavedInputs!B62,Inputs!B63=SavedInputs!B63,Inputs!B64=SavedInputs!B64,Inputs!B65=SavedInputs!B65,Inputs!B66=SavedInputs!B66,Inputs!B67=SavedInputs!B67),"PASS","EDITED_UNREVIEWED"),"EDITED_UNREVIEWED")</f>
        <v>PASS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" t="s">
        <v>365</v>
      </c>
      <c r="B9" s="2" t="str">
        <f>IF(AND(COUNTIF(B4:L6,"PASS")=33,B7="PASS"),"PASS","FAIL")</f>
        <v>PASS</v>
      </c>
      <c r="C9" s="2"/>
      <c r="D9" s="2"/>
      <c r="E9" s="2"/>
      <c r="F9" s="2"/>
      <c r="G9" s="2"/>
      <c r="H9" s="2"/>
      <c r="I9" s="2"/>
      <c r="J9" s="2"/>
      <c r="K9" s="2"/>
      <c r="L9" s="2"/>
    </row>
  </sheetData>
  <mergeCells count="2">
    <mergeCell ref="A2:L2"/>
    <mergeCell ref="A1:L1"/>
  </mergeCells>
  <pageMargins left="0.7" right="0.7" top="0.75" bottom="0.75" header="0.3" footer="0.3"/>
  <pageSetup paperSize="9" scale="51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244"/>
  <sheetViews>
    <sheetView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sqref="A1:L1"/>
    </sheetView>
  </sheetViews>
  <sheetFormatPr defaultColWidth="8.42578125" defaultRowHeight="15" x14ac:dyDescent="0.25"/>
  <cols>
    <col min="1" max="1" width="10.7109375" customWidth="1"/>
    <col min="2" max="2" width="58.7109375" customWidth="1"/>
    <col min="3" max="3" width="17.7109375" customWidth="1"/>
    <col min="4" max="4" width="65.7109375" customWidth="1"/>
    <col min="5" max="12" width="17.7109375" customWidth="1"/>
  </cols>
  <sheetData>
    <row r="1" spans="1:12" ht="21" customHeight="1" x14ac:dyDescent="0.25">
      <c r="A1" s="40" t="s">
        <v>366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21" customHeight="1" x14ac:dyDescent="0.25">
      <c r="A2" s="38" t="s">
        <v>367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4" customFormat="1" ht="21" customHeight="1" x14ac:dyDescent="0.25">
      <c r="A3" s="7" t="s">
        <v>368</v>
      </c>
      <c r="B3" s="7" t="s">
        <v>369</v>
      </c>
      <c r="C3" s="7" t="s">
        <v>370</v>
      </c>
      <c r="D3" s="7" t="s">
        <v>371</v>
      </c>
      <c r="E3" s="7" t="s">
        <v>372</v>
      </c>
      <c r="F3" s="7" t="s">
        <v>373</v>
      </c>
      <c r="G3" s="7" t="s">
        <v>374</v>
      </c>
      <c r="H3" s="7" t="s">
        <v>375</v>
      </c>
      <c r="I3" s="8"/>
      <c r="J3" s="8"/>
      <c r="K3" s="8"/>
      <c r="L3" s="8"/>
    </row>
    <row r="4" spans="1:12" ht="73.5" customHeight="1" x14ac:dyDescent="0.25">
      <c r="A4" s="6" t="s">
        <v>376</v>
      </c>
      <c r="B4" s="9" t="s">
        <v>377</v>
      </c>
      <c r="C4" s="9">
        <v>14</v>
      </c>
      <c r="D4" s="9" t="s">
        <v>378</v>
      </c>
      <c r="E4" s="9" t="s">
        <v>379</v>
      </c>
      <c r="F4" s="9">
        <v>1075</v>
      </c>
      <c r="G4" s="9" t="s">
        <v>334</v>
      </c>
      <c r="H4" s="9" t="s">
        <v>380</v>
      </c>
      <c r="I4" s="8"/>
      <c r="J4" s="8"/>
      <c r="K4" s="8"/>
      <c r="L4" s="8"/>
    </row>
    <row r="5" spans="1:12" ht="73.5" customHeight="1" x14ac:dyDescent="0.25">
      <c r="A5" s="6" t="s">
        <v>381</v>
      </c>
      <c r="B5" s="9" t="s">
        <v>377</v>
      </c>
      <c r="C5" s="9">
        <v>8</v>
      </c>
      <c r="D5" s="9" t="s">
        <v>382</v>
      </c>
      <c r="E5" s="9" t="s">
        <v>379</v>
      </c>
      <c r="F5" s="9">
        <v>-1846</v>
      </c>
      <c r="G5" s="9" t="s">
        <v>334</v>
      </c>
      <c r="H5" s="9" t="s">
        <v>380</v>
      </c>
      <c r="I5" s="8"/>
      <c r="J5" s="8"/>
      <c r="K5" s="8"/>
      <c r="L5" s="8"/>
    </row>
    <row r="6" spans="1:12" ht="73.5" customHeight="1" x14ac:dyDescent="0.25">
      <c r="A6" s="6" t="s">
        <v>383</v>
      </c>
      <c r="B6" s="9" t="s">
        <v>377</v>
      </c>
      <c r="C6" s="9">
        <v>2</v>
      </c>
      <c r="D6" s="9" t="s">
        <v>384</v>
      </c>
      <c r="E6" s="9" t="s">
        <v>379</v>
      </c>
      <c r="F6" s="9">
        <v>7882</v>
      </c>
      <c r="G6" s="9" t="s">
        <v>334</v>
      </c>
      <c r="H6" s="9" t="s">
        <v>380</v>
      </c>
      <c r="I6" s="8"/>
      <c r="J6" s="8"/>
      <c r="K6" s="8"/>
      <c r="L6" s="8"/>
    </row>
    <row r="7" spans="1:12" ht="73.5" customHeight="1" x14ac:dyDescent="0.25">
      <c r="A7" s="6" t="s">
        <v>385</v>
      </c>
      <c r="B7" s="9" t="s">
        <v>377</v>
      </c>
      <c r="C7" s="9">
        <v>6</v>
      </c>
      <c r="D7" s="9" t="s">
        <v>386</v>
      </c>
      <c r="E7" s="9" t="s">
        <v>379</v>
      </c>
      <c r="F7" s="9">
        <v>-4027</v>
      </c>
      <c r="G7" s="9" t="s">
        <v>334</v>
      </c>
      <c r="H7" s="9" t="s">
        <v>380</v>
      </c>
      <c r="I7" s="8"/>
      <c r="J7" s="8"/>
      <c r="K7" s="8"/>
      <c r="L7" s="8"/>
    </row>
    <row r="8" spans="1:12" ht="73.5" customHeight="1" x14ac:dyDescent="0.25">
      <c r="A8" s="6" t="s">
        <v>387</v>
      </c>
      <c r="B8" s="9" t="s">
        <v>377</v>
      </c>
      <c r="C8" s="9">
        <v>7</v>
      </c>
      <c r="D8" s="9" t="s">
        <v>388</v>
      </c>
      <c r="E8" s="9" t="s">
        <v>379</v>
      </c>
      <c r="F8" s="9">
        <v>3855</v>
      </c>
      <c r="G8" s="9" t="s">
        <v>334</v>
      </c>
      <c r="H8" s="9" t="s">
        <v>380</v>
      </c>
      <c r="I8" s="8"/>
      <c r="J8" s="8"/>
      <c r="K8" s="8"/>
      <c r="L8" s="8"/>
    </row>
    <row r="9" spans="1:12" ht="73.5" customHeight="1" x14ac:dyDescent="0.25">
      <c r="A9" s="6" t="s">
        <v>389</v>
      </c>
      <c r="B9" s="9" t="s">
        <v>377</v>
      </c>
      <c r="C9" s="9">
        <v>9</v>
      </c>
      <c r="D9" s="9" t="s">
        <v>390</v>
      </c>
      <c r="E9" s="9" t="s">
        <v>379</v>
      </c>
      <c r="F9" s="9">
        <v>2009</v>
      </c>
      <c r="G9" s="9" t="s">
        <v>334</v>
      </c>
      <c r="H9" s="9" t="s">
        <v>380</v>
      </c>
      <c r="I9" s="8"/>
      <c r="J9" s="8"/>
      <c r="K9" s="8"/>
      <c r="L9" s="8"/>
    </row>
    <row r="10" spans="1:12" ht="73.5" customHeight="1" x14ac:dyDescent="0.25">
      <c r="A10" s="6" t="s">
        <v>391</v>
      </c>
      <c r="B10" s="9" t="s">
        <v>377</v>
      </c>
      <c r="C10" s="9">
        <v>12</v>
      </c>
      <c r="D10" s="9" t="s">
        <v>392</v>
      </c>
      <c r="E10" s="9" t="s">
        <v>379</v>
      </c>
      <c r="F10" s="9">
        <v>1423</v>
      </c>
      <c r="G10" s="9" t="s">
        <v>334</v>
      </c>
      <c r="H10" s="9" t="s">
        <v>380</v>
      </c>
      <c r="I10" s="8"/>
      <c r="J10" s="8"/>
      <c r="K10" s="8"/>
      <c r="L10" s="8"/>
    </row>
    <row r="11" spans="1:12" ht="73.5" customHeight="1" x14ac:dyDescent="0.25">
      <c r="A11" s="6" t="s">
        <v>393</v>
      </c>
      <c r="B11" s="9" t="s">
        <v>377</v>
      </c>
      <c r="C11" s="9">
        <v>13</v>
      </c>
      <c r="D11" s="9" t="s">
        <v>394</v>
      </c>
      <c r="E11" s="9" t="s">
        <v>379</v>
      </c>
      <c r="F11" s="9">
        <v>348</v>
      </c>
      <c r="G11" s="9" t="s">
        <v>334</v>
      </c>
      <c r="H11" s="9" t="s">
        <v>380</v>
      </c>
      <c r="I11" s="8"/>
      <c r="J11" s="8"/>
      <c r="K11" s="8"/>
      <c r="L11" s="8"/>
    </row>
    <row r="12" spans="1:12" ht="73.5" customHeight="1" x14ac:dyDescent="0.25">
      <c r="A12" s="6" t="s">
        <v>395</v>
      </c>
      <c r="B12" s="9" t="s">
        <v>377</v>
      </c>
      <c r="C12" s="9">
        <v>16</v>
      </c>
      <c r="D12" s="9" t="s">
        <v>396</v>
      </c>
      <c r="E12" s="9" t="s">
        <v>379</v>
      </c>
      <c r="F12" s="9">
        <v>1333</v>
      </c>
      <c r="G12" s="9" t="s">
        <v>334</v>
      </c>
      <c r="H12" s="9" t="s">
        <v>380</v>
      </c>
      <c r="I12" s="8"/>
      <c r="J12" s="8"/>
      <c r="K12" s="8"/>
      <c r="L12" s="8"/>
    </row>
    <row r="13" spans="1:12" ht="73.5" customHeight="1" x14ac:dyDescent="0.25">
      <c r="A13" s="6" t="s">
        <v>397</v>
      </c>
      <c r="B13" s="9" t="s">
        <v>377</v>
      </c>
      <c r="C13" s="9">
        <v>15</v>
      </c>
      <c r="D13" s="9" t="s">
        <v>398</v>
      </c>
      <c r="E13" s="9" t="s">
        <v>379</v>
      </c>
      <c r="F13" s="9">
        <v>258</v>
      </c>
      <c r="G13" s="9" t="s">
        <v>334</v>
      </c>
      <c r="H13" s="9" t="s">
        <v>380</v>
      </c>
      <c r="I13" s="8"/>
      <c r="J13" s="8"/>
      <c r="K13" s="8"/>
      <c r="L13" s="8"/>
    </row>
    <row r="14" spans="1:12" ht="73.5" customHeight="1" x14ac:dyDescent="0.25">
      <c r="A14" s="6" t="s">
        <v>399</v>
      </c>
      <c r="B14" s="9" t="s">
        <v>377</v>
      </c>
      <c r="C14" s="9">
        <v>10</v>
      </c>
      <c r="D14" s="9" t="s">
        <v>400</v>
      </c>
      <c r="E14" s="9" t="s">
        <v>379</v>
      </c>
      <c r="F14" s="9">
        <v>-388</v>
      </c>
      <c r="G14" s="9" t="s">
        <v>334</v>
      </c>
      <c r="H14" s="9" t="s">
        <v>380</v>
      </c>
      <c r="I14" s="8"/>
      <c r="J14" s="8"/>
      <c r="K14" s="8"/>
      <c r="L14" s="8"/>
    </row>
    <row r="15" spans="1:12" ht="73.5" customHeight="1" x14ac:dyDescent="0.25">
      <c r="A15" s="6" t="s">
        <v>401</v>
      </c>
      <c r="B15" s="9" t="s">
        <v>402</v>
      </c>
      <c r="C15" s="9">
        <v>4</v>
      </c>
      <c r="D15" s="9" t="s">
        <v>403</v>
      </c>
      <c r="E15" s="9" t="s">
        <v>404</v>
      </c>
      <c r="F15" s="9">
        <v>1979</v>
      </c>
      <c r="G15" s="9" t="s">
        <v>334</v>
      </c>
      <c r="H15" s="9" t="s">
        <v>405</v>
      </c>
      <c r="I15" s="8"/>
      <c r="J15" s="8"/>
      <c r="K15" s="8"/>
      <c r="L15" s="8"/>
    </row>
    <row r="16" spans="1:12" ht="73.5" customHeight="1" x14ac:dyDescent="0.25">
      <c r="A16" s="6" t="s">
        <v>406</v>
      </c>
      <c r="B16" s="9" t="s">
        <v>402</v>
      </c>
      <c r="C16" s="9">
        <v>5</v>
      </c>
      <c r="D16" s="9" t="s">
        <v>407</v>
      </c>
      <c r="E16" s="9" t="s">
        <v>404</v>
      </c>
      <c r="F16" s="9">
        <v>240</v>
      </c>
      <c r="G16" s="9" t="s">
        <v>334</v>
      </c>
      <c r="H16" s="9" t="s">
        <v>405</v>
      </c>
      <c r="I16" s="8"/>
      <c r="J16" s="8"/>
      <c r="K16" s="8"/>
      <c r="L16" s="8"/>
    </row>
    <row r="17" spans="1:12" ht="73.5" customHeight="1" x14ac:dyDescent="0.25">
      <c r="A17" s="6" t="s">
        <v>408</v>
      </c>
      <c r="B17" s="9" t="s">
        <v>402</v>
      </c>
      <c r="C17" s="9">
        <v>6</v>
      </c>
      <c r="D17" s="9" t="s">
        <v>409</v>
      </c>
      <c r="E17" s="9" t="s">
        <v>404</v>
      </c>
      <c r="F17" s="9">
        <v>709</v>
      </c>
      <c r="G17" s="9" t="s">
        <v>334</v>
      </c>
      <c r="H17" s="9" t="s">
        <v>405</v>
      </c>
      <c r="I17" s="8"/>
      <c r="J17" s="8"/>
      <c r="K17" s="8"/>
      <c r="L17" s="8"/>
    </row>
    <row r="18" spans="1:12" ht="73.5" customHeight="1" x14ac:dyDescent="0.25">
      <c r="A18" s="6" t="s">
        <v>410</v>
      </c>
      <c r="B18" s="9" t="s">
        <v>402</v>
      </c>
      <c r="C18" s="9">
        <v>18</v>
      </c>
      <c r="D18" s="9" t="s">
        <v>411</v>
      </c>
      <c r="E18" s="9" t="s">
        <v>404</v>
      </c>
      <c r="F18" s="9">
        <v>435</v>
      </c>
      <c r="G18" s="9" t="s">
        <v>334</v>
      </c>
      <c r="H18" s="9" t="s">
        <v>405</v>
      </c>
      <c r="I18" s="8"/>
      <c r="J18" s="8"/>
      <c r="K18" s="8"/>
      <c r="L18" s="8"/>
    </row>
    <row r="19" spans="1:12" ht="73.5" customHeight="1" x14ac:dyDescent="0.25">
      <c r="A19" s="6" t="s">
        <v>412</v>
      </c>
      <c r="B19" s="9" t="s">
        <v>402</v>
      </c>
      <c r="C19" s="9">
        <v>8</v>
      </c>
      <c r="D19" s="9" t="s">
        <v>413</v>
      </c>
      <c r="E19" s="9" t="s">
        <v>404</v>
      </c>
      <c r="F19" s="9">
        <v>3009</v>
      </c>
      <c r="G19" s="9" t="s">
        <v>334</v>
      </c>
      <c r="H19" s="9" t="s">
        <v>405</v>
      </c>
      <c r="I19" s="8"/>
      <c r="J19" s="8"/>
      <c r="K19" s="8"/>
      <c r="L19" s="8"/>
    </row>
    <row r="20" spans="1:12" ht="73.5" customHeight="1" x14ac:dyDescent="0.25">
      <c r="A20" s="6" t="s">
        <v>414</v>
      </c>
      <c r="B20" s="9" t="s">
        <v>402</v>
      </c>
      <c r="C20" s="9">
        <v>22</v>
      </c>
      <c r="D20" s="9" t="s">
        <v>415</v>
      </c>
      <c r="E20" s="9" t="s">
        <v>404</v>
      </c>
      <c r="F20" s="9">
        <v>1290</v>
      </c>
      <c r="G20" s="9" t="s">
        <v>334</v>
      </c>
      <c r="H20" s="9" t="s">
        <v>405</v>
      </c>
      <c r="I20" s="8"/>
      <c r="J20" s="8"/>
      <c r="K20" s="8"/>
      <c r="L20" s="8"/>
    </row>
    <row r="21" spans="1:12" ht="73.5" customHeight="1" x14ac:dyDescent="0.25">
      <c r="A21" s="6" t="s">
        <v>416</v>
      </c>
      <c r="B21" s="9" t="s">
        <v>402</v>
      </c>
      <c r="C21" s="9">
        <v>9</v>
      </c>
      <c r="D21" s="9" t="s">
        <v>417</v>
      </c>
      <c r="E21" s="9" t="s">
        <v>404</v>
      </c>
      <c r="F21" s="9">
        <v>1009</v>
      </c>
      <c r="G21" s="9" t="s">
        <v>334</v>
      </c>
      <c r="H21" s="9" t="s">
        <v>405</v>
      </c>
      <c r="I21" s="8"/>
      <c r="J21" s="8"/>
      <c r="K21" s="8"/>
      <c r="L21" s="8"/>
    </row>
    <row r="22" spans="1:12" ht="73.5" customHeight="1" x14ac:dyDescent="0.25">
      <c r="A22" s="6" t="s">
        <v>418</v>
      </c>
      <c r="B22" s="9" t="s">
        <v>402</v>
      </c>
      <c r="C22" s="9">
        <v>15</v>
      </c>
      <c r="D22" s="9" t="s">
        <v>419</v>
      </c>
      <c r="E22" s="9" t="s">
        <v>404</v>
      </c>
      <c r="F22" s="9">
        <v>6026</v>
      </c>
      <c r="G22" s="9" t="s">
        <v>334</v>
      </c>
      <c r="H22" s="9" t="s">
        <v>405</v>
      </c>
      <c r="I22" s="8"/>
      <c r="J22" s="8"/>
      <c r="K22" s="8"/>
      <c r="L22" s="8"/>
    </row>
    <row r="23" spans="1:12" ht="73.5" customHeight="1" x14ac:dyDescent="0.25">
      <c r="A23" s="6" t="s">
        <v>420</v>
      </c>
      <c r="B23" s="9" t="s">
        <v>402</v>
      </c>
      <c r="C23" s="9">
        <v>37</v>
      </c>
      <c r="D23" s="9" t="s">
        <v>421</v>
      </c>
      <c r="E23" s="9" t="s">
        <v>404</v>
      </c>
      <c r="F23" s="9">
        <v>6026</v>
      </c>
      <c r="G23" s="9" t="s">
        <v>334</v>
      </c>
      <c r="H23" s="9" t="s">
        <v>405</v>
      </c>
      <c r="I23" s="8"/>
      <c r="J23" s="8"/>
      <c r="K23" s="8"/>
      <c r="L23" s="8"/>
    </row>
    <row r="24" spans="1:12" ht="73.5" customHeight="1" x14ac:dyDescent="0.25">
      <c r="A24" s="6" t="s">
        <v>422</v>
      </c>
      <c r="B24" s="9" t="s">
        <v>402</v>
      </c>
      <c r="C24" s="9">
        <v>34</v>
      </c>
      <c r="D24" s="9" t="s">
        <v>423</v>
      </c>
      <c r="E24" s="9" t="s">
        <v>404</v>
      </c>
      <c r="F24" s="9">
        <v>-1518</v>
      </c>
      <c r="G24" s="9" t="s">
        <v>334</v>
      </c>
      <c r="H24" s="9" t="s">
        <v>405</v>
      </c>
      <c r="I24" s="8"/>
      <c r="J24" s="8"/>
      <c r="K24" s="8"/>
      <c r="L24" s="8"/>
    </row>
    <row r="25" spans="1:12" ht="73.5" customHeight="1" x14ac:dyDescent="0.25">
      <c r="A25" s="6" t="s">
        <v>424</v>
      </c>
      <c r="B25" s="9" t="s">
        <v>402</v>
      </c>
      <c r="C25" s="9">
        <v>36</v>
      </c>
      <c r="D25" s="9" t="s">
        <v>425</v>
      </c>
      <c r="E25" s="9" t="s">
        <v>404</v>
      </c>
      <c r="F25" s="9">
        <v>-1517</v>
      </c>
      <c r="G25" s="9" t="s">
        <v>334</v>
      </c>
      <c r="H25" s="9" t="s">
        <v>405</v>
      </c>
      <c r="I25" s="8"/>
      <c r="J25" s="8"/>
      <c r="K25" s="8"/>
      <c r="L25" s="8"/>
    </row>
    <row r="26" spans="1:12" ht="73.5" customHeight="1" x14ac:dyDescent="0.25">
      <c r="A26" s="6" t="s">
        <v>426</v>
      </c>
      <c r="B26" s="9" t="s">
        <v>402</v>
      </c>
      <c r="C26" s="9">
        <v>35</v>
      </c>
      <c r="D26" s="9" t="s">
        <v>427</v>
      </c>
      <c r="E26" s="9" t="s">
        <v>404</v>
      </c>
      <c r="F26" s="9">
        <v>1</v>
      </c>
      <c r="G26" s="9" t="s">
        <v>334</v>
      </c>
      <c r="H26" s="9" t="s">
        <v>405</v>
      </c>
      <c r="I26" s="8"/>
      <c r="J26" s="8"/>
      <c r="K26" s="8"/>
      <c r="L26" s="8"/>
    </row>
    <row r="27" spans="1:12" ht="73.5" customHeight="1" x14ac:dyDescent="0.25">
      <c r="A27" s="6" t="s">
        <v>428</v>
      </c>
      <c r="B27" s="9" t="s">
        <v>402</v>
      </c>
      <c r="C27" s="9">
        <v>24</v>
      </c>
      <c r="D27" s="9" t="s">
        <v>429</v>
      </c>
      <c r="E27" s="9" t="s">
        <v>404</v>
      </c>
      <c r="F27" s="9">
        <v>4854</v>
      </c>
      <c r="G27" s="9" t="s">
        <v>334</v>
      </c>
      <c r="H27" s="9" t="s">
        <v>405</v>
      </c>
      <c r="I27" s="8"/>
      <c r="J27" s="8"/>
      <c r="K27" s="8"/>
      <c r="L27" s="8"/>
    </row>
    <row r="28" spans="1:12" ht="73.5" customHeight="1" x14ac:dyDescent="0.25">
      <c r="A28" s="6" t="s">
        <v>430</v>
      </c>
      <c r="B28" s="9" t="s">
        <v>431</v>
      </c>
      <c r="C28" s="9">
        <v>5</v>
      </c>
      <c r="D28" s="9" t="s">
        <v>432</v>
      </c>
      <c r="E28" s="9" t="s">
        <v>379</v>
      </c>
      <c r="F28" s="9">
        <v>363</v>
      </c>
      <c r="G28" s="9" t="s">
        <v>334</v>
      </c>
      <c r="H28" s="9" t="s">
        <v>380</v>
      </c>
      <c r="I28" s="8"/>
      <c r="J28" s="8"/>
      <c r="K28" s="8"/>
      <c r="L28" s="8"/>
    </row>
    <row r="29" spans="1:12" ht="73.5" customHeight="1" x14ac:dyDescent="0.25">
      <c r="A29" s="6" t="s">
        <v>433</v>
      </c>
      <c r="B29" s="9" t="s">
        <v>431</v>
      </c>
      <c r="C29" s="9">
        <v>8</v>
      </c>
      <c r="D29" s="9" t="s">
        <v>434</v>
      </c>
      <c r="E29" s="9" t="s">
        <v>379</v>
      </c>
      <c r="F29" s="9">
        <v>46</v>
      </c>
      <c r="G29" s="9" t="s">
        <v>334</v>
      </c>
      <c r="H29" s="9" t="s">
        <v>380</v>
      </c>
      <c r="I29" s="8"/>
      <c r="J29" s="8"/>
      <c r="K29" s="8"/>
      <c r="L29" s="8"/>
    </row>
    <row r="30" spans="1:12" ht="73.5" customHeight="1" x14ac:dyDescent="0.25">
      <c r="A30" s="6" t="s">
        <v>435</v>
      </c>
      <c r="B30" s="9" t="s">
        <v>431</v>
      </c>
      <c r="C30" s="9">
        <v>19</v>
      </c>
      <c r="D30" s="9" t="s">
        <v>436</v>
      </c>
      <c r="E30" s="9" t="s">
        <v>379</v>
      </c>
      <c r="F30" s="9">
        <v>-270</v>
      </c>
      <c r="G30" s="9" t="s">
        <v>334</v>
      </c>
      <c r="H30" s="9" t="s">
        <v>380</v>
      </c>
      <c r="I30" s="8"/>
      <c r="J30" s="8"/>
      <c r="K30" s="8"/>
      <c r="L30" s="8"/>
    </row>
    <row r="31" spans="1:12" ht="73.5" customHeight="1" x14ac:dyDescent="0.25">
      <c r="A31" s="6" t="s">
        <v>437</v>
      </c>
      <c r="B31" s="9" t="s">
        <v>431</v>
      </c>
      <c r="C31" s="9">
        <v>17</v>
      </c>
      <c r="D31" s="9" t="s">
        <v>438</v>
      </c>
      <c r="E31" s="9" t="s">
        <v>379</v>
      </c>
      <c r="F31" s="9">
        <v>1492</v>
      </c>
      <c r="G31" s="9" t="s">
        <v>334</v>
      </c>
      <c r="H31" s="9" t="s">
        <v>380</v>
      </c>
      <c r="I31" s="8"/>
      <c r="J31" s="8"/>
      <c r="K31" s="8"/>
      <c r="L31" s="8"/>
    </row>
    <row r="32" spans="1:12" ht="73.5" customHeight="1" x14ac:dyDescent="0.25">
      <c r="A32" s="6" t="s">
        <v>439</v>
      </c>
      <c r="B32" s="9" t="s">
        <v>431</v>
      </c>
      <c r="C32" s="9">
        <v>21</v>
      </c>
      <c r="D32" s="9" t="s">
        <v>440</v>
      </c>
      <c r="E32" s="9" t="s">
        <v>379</v>
      </c>
      <c r="F32" s="9">
        <v>-259</v>
      </c>
      <c r="G32" s="9" t="s">
        <v>334</v>
      </c>
      <c r="H32" s="9" t="s">
        <v>380</v>
      </c>
      <c r="I32" s="8"/>
      <c r="J32" s="8"/>
      <c r="K32" s="8"/>
      <c r="L32" s="8"/>
    </row>
    <row r="33" spans="1:12" ht="73.5" customHeight="1" x14ac:dyDescent="0.25">
      <c r="A33" s="6" t="s">
        <v>441</v>
      </c>
      <c r="B33" s="9" t="s">
        <v>431</v>
      </c>
      <c r="C33" s="9">
        <v>35</v>
      </c>
      <c r="D33" s="9" t="s">
        <v>442</v>
      </c>
      <c r="E33" s="9" t="s">
        <v>379</v>
      </c>
      <c r="F33" s="9">
        <v>-3188</v>
      </c>
      <c r="G33" s="9" t="s">
        <v>334</v>
      </c>
      <c r="H33" s="9" t="s">
        <v>380</v>
      </c>
      <c r="I33" s="8"/>
      <c r="J33" s="8"/>
      <c r="K33" s="8"/>
      <c r="L33" s="8"/>
    </row>
    <row r="34" spans="1:12" ht="73.5" customHeight="1" x14ac:dyDescent="0.25">
      <c r="A34" s="6" t="s">
        <v>443</v>
      </c>
      <c r="B34" s="9" t="s">
        <v>444</v>
      </c>
      <c r="C34" s="9">
        <v>14</v>
      </c>
      <c r="D34" s="9" t="s">
        <v>378</v>
      </c>
      <c r="E34" s="9" t="s">
        <v>445</v>
      </c>
      <c r="F34" s="9">
        <v>794</v>
      </c>
      <c r="G34" s="9" t="s">
        <v>334</v>
      </c>
      <c r="H34" s="9" t="s">
        <v>446</v>
      </c>
      <c r="I34" s="8"/>
      <c r="J34" s="8"/>
      <c r="K34" s="8"/>
      <c r="L34" s="8"/>
    </row>
    <row r="35" spans="1:12" ht="73.5" customHeight="1" x14ac:dyDescent="0.25">
      <c r="A35" s="6" t="s">
        <v>447</v>
      </c>
      <c r="B35" s="9" t="s">
        <v>444</v>
      </c>
      <c r="C35" s="9">
        <v>8</v>
      </c>
      <c r="D35" s="9" t="s">
        <v>382</v>
      </c>
      <c r="E35" s="9" t="s">
        <v>445</v>
      </c>
      <c r="F35" s="9">
        <v>-1879</v>
      </c>
      <c r="G35" s="9" t="s">
        <v>334</v>
      </c>
      <c r="H35" s="9" t="s">
        <v>446</v>
      </c>
      <c r="I35" s="8"/>
      <c r="J35" s="8"/>
      <c r="K35" s="8"/>
      <c r="L35" s="8"/>
    </row>
    <row r="36" spans="1:12" ht="73.5" customHeight="1" x14ac:dyDescent="0.25">
      <c r="A36" s="6" t="s">
        <v>448</v>
      </c>
      <c r="B36" s="9" t="s">
        <v>444</v>
      </c>
      <c r="C36" s="9">
        <v>2</v>
      </c>
      <c r="D36" s="9" t="s">
        <v>384</v>
      </c>
      <c r="E36" s="9" t="s">
        <v>445</v>
      </c>
      <c r="F36" s="9">
        <v>7560</v>
      </c>
      <c r="G36" s="9" t="s">
        <v>334</v>
      </c>
      <c r="H36" s="9" t="s">
        <v>446</v>
      </c>
      <c r="I36" s="8"/>
      <c r="J36" s="8"/>
      <c r="K36" s="8"/>
      <c r="L36" s="8"/>
    </row>
    <row r="37" spans="1:12" ht="73.5" customHeight="1" x14ac:dyDescent="0.25">
      <c r="A37" s="6" t="s">
        <v>449</v>
      </c>
      <c r="B37" s="9" t="s">
        <v>444</v>
      </c>
      <c r="C37" s="9">
        <v>6</v>
      </c>
      <c r="D37" s="9" t="s">
        <v>386</v>
      </c>
      <c r="E37" s="9" t="s">
        <v>445</v>
      </c>
      <c r="F37" s="9">
        <v>-4305</v>
      </c>
      <c r="G37" s="9" t="s">
        <v>334</v>
      </c>
      <c r="H37" s="9" t="s">
        <v>446</v>
      </c>
      <c r="I37" s="8"/>
      <c r="J37" s="8"/>
      <c r="K37" s="8"/>
      <c r="L37" s="8"/>
    </row>
    <row r="38" spans="1:12" ht="73.5" customHeight="1" x14ac:dyDescent="0.25">
      <c r="A38" s="6" t="s">
        <v>450</v>
      </c>
      <c r="B38" s="9" t="s">
        <v>444</v>
      </c>
      <c r="C38" s="9">
        <v>7</v>
      </c>
      <c r="D38" s="9" t="s">
        <v>388</v>
      </c>
      <c r="E38" s="9" t="s">
        <v>445</v>
      </c>
      <c r="F38" s="9">
        <v>3255</v>
      </c>
      <c r="G38" s="9" t="s">
        <v>334</v>
      </c>
      <c r="H38" s="9" t="s">
        <v>446</v>
      </c>
      <c r="I38" s="8"/>
      <c r="J38" s="8"/>
      <c r="K38" s="8"/>
      <c r="L38" s="8"/>
    </row>
    <row r="39" spans="1:12" ht="73.5" customHeight="1" x14ac:dyDescent="0.25">
      <c r="A39" s="6" t="s">
        <v>451</v>
      </c>
      <c r="B39" s="9" t="s">
        <v>444</v>
      </c>
      <c r="C39" s="9">
        <v>9</v>
      </c>
      <c r="D39" s="9" t="s">
        <v>390</v>
      </c>
      <c r="E39" s="9" t="s">
        <v>445</v>
      </c>
      <c r="F39" s="9">
        <v>1376</v>
      </c>
      <c r="G39" s="9" t="s">
        <v>334</v>
      </c>
      <c r="H39" s="9" t="s">
        <v>446</v>
      </c>
      <c r="I39" s="8"/>
      <c r="J39" s="8"/>
      <c r="K39" s="8"/>
      <c r="L39" s="8"/>
    </row>
    <row r="40" spans="1:12" ht="73.5" customHeight="1" x14ac:dyDescent="0.25">
      <c r="A40" s="6" t="s">
        <v>452</v>
      </c>
      <c r="B40" s="9" t="s">
        <v>444</v>
      </c>
      <c r="C40" s="9">
        <v>12</v>
      </c>
      <c r="D40" s="9" t="s">
        <v>392</v>
      </c>
      <c r="E40" s="9" t="s">
        <v>445</v>
      </c>
      <c r="F40" s="9">
        <v>1045</v>
      </c>
      <c r="G40" s="9" t="s">
        <v>334</v>
      </c>
      <c r="H40" s="9" t="s">
        <v>446</v>
      </c>
      <c r="I40" s="8"/>
      <c r="J40" s="8"/>
      <c r="K40" s="8"/>
      <c r="L40" s="8"/>
    </row>
    <row r="41" spans="1:12" ht="73.5" customHeight="1" x14ac:dyDescent="0.25">
      <c r="A41" s="6" t="s">
        <v>453</v>
      </c>
      <c r="B41" s="9" t="s">
        <v>444</v>
      </c>
      <c r="C41" s="9">
        <v>13</v>
      </c>
      <c r="D41" s="9" t="s">
        <v>394</v>
      </c>
      <c r="E41" s="9" t="s">
        <v>445</v>
      </c>
      <c r="F41" s="9">
        <v>251</v>
      </c>
      <c r="G41" s="9" t="s">
        <v>334</v>
      </c>
      <c r="H41" s="9" t="s">
        <v>446</v>
      </c>
      <c r="I41" s="8"/>
      <c r="J41" s="8"/>
      <c r="K41" s="8"/>
      <c r="L41" s="8"/>
    </row>
    <row r="42" spans="1:12" ht="73.5" customHeight="1" x14ac:dyDescent="0.25">
      <c r="A42" s="6" t="s">
        <v>454</v>
      </c>
      <c r="B42" s="9" t="s">
        <v>444</v>
      </c>
      <c r="C42" s="9">
        <v>16</v>
      </c>
      <c r="D42" s="9" t="s">
        <v>396</v>
      </c>
      <c r="E42" s="9" t="s">
        <v>445</v>
      </c>
      <c r="F42" s="9">
        <v>800</v>
      </c>
      <c r="G42" s="9" t="s">
        <v>334</v>
      </c>
      <c r="H42" s="9" t="s">
        <v>446</v>
      </c>
      <c r="I42" s="8"/>
      <c r="J42" s="8"/>
      <c r="K42" s="8"/>
      <c r="L42" s="8"/>
    </row>
    <row r="43" spans="1:12" ht="73.5" customHeight="1" x14ac:dyDescent="0.25">
      <c r="A43" s="6" t="s">
        <v>455</v>
      </c>
      <c r="B43" s="9" t="s">
        <v>444</v>
      </c>
      <c r="C43" s="9">
        <v>15</v>
      </c>
      <c r="D43" s="9" t="s">
        <v>398</v>
      </c>
      <c r="E43" s="9" t="s">
        <v>445</v>
      </c>
      <c r="F43" s="9">
        <v>6</v>
      </c>
      <c r="G43" s="9" t="s">
        <v>334</v>
      </c>
      <c r="H43" s="9" t="s">
        <v>446</v>
      </c>
      <c r="I43" s="8"/>
      <c r="J43" s="8"/>
      <c r="K43" s="8"/>
      <c r="L43" s="8"/>
    </row>
    <row r="44" spans="1:12" ht="73.5" customHeight="1" x14ac:dyDescent="0.25">
      <c r="A44" s="6" t="s">
        <v>456</v>
      </c>
      <c r="B44" s="9" t="s">
        <v>444</v>
      </c>
      <c r="C44" s="9">
        <v>10</v>
      </c>
      <c r="D44" s="9" t="s">
        <v>400</v>
      </c>
      <c r="E44" s="9" t="s">
        <v>445</v>
      </c>
      <c r="F44" s="9">
        <v>-348</v>
      </c>
      <c r="G44" s="9" t="s">
        <v>334</v>
      </c>
      <c r="H44" s="9" t="s">
        <v>446</v>
      </c>
      <c r="I44" s="8"/>
      <c r="J44" s="8"/>
      <c r="K44" s="8"/>
      <c r="L44" s="8"/>
    </row>
    <row r="45" spans="1:12" ht="73.5" customHeight="1" x14ac:dyDescent="0.25">
      <c r="A45" s="6" t="s">
        <v>457</v>
      </c>
      <c r="B45" s="9" t="s">
        <v>458</v>
      </c>
      <c r="C45" s="9">
        <v>4</v>
      </c>
      <c r="D45" s="9" t="s">
        <v>403</v>
      </c>
      <c r="E45" s="9" t="s">
        <v>459</v>
      </c>
      <c r="F45" s="9">
        <v>1232</v>
      </c>
      <c r="G45" s="9" t="s">
        <v>334</v>
      </c>
      <c r="H45" s="9" t="s">
        <v>380</v>
      </c>
      <c r="I45" s="8"/>
      <c r="J45" s="8"/>
      <c r="K45" s="8"/>
      <c r="L45" s="8"/>
    </row>
    <row r="46" spans="1:12" ht="73.5" customHeight="1" x14ac:dyDescent="0.25">
      <c r="A46" s="6" t="s">
        <v>460</v>
      </c>
      <c r="B46" s="9" t="s">
        <v>458</v>
      </c>
      <c r="C46" s="9">
        <v>5</v>
      </c>
      <c r="D46" s="9" t="s">
        <v>407</v>
      </c>
      <c r="E46" s="9" t="s">
        <v>459</v>
      </c>
      <c r="F46" s="9">
        <v>226</v>
      </c>
      <c r="G46" s="9" t="s">
        <v>334</v>
      </c>
      <c r="H46" s="9" t="s">
        <v>380</v>
      </c>
      <c r="I46" s="8"/>
      <c r="J46" s="8"/>
      <c r="K46" s="8"/>
      <c r="L46" s="8"/>
    </row>
    <row r="47" spans="1:12" ht="73.5" customHeight="1" x14ac:dyDescent="0.25">
      <c r="A47" s="6" t="s">
        <v>461</v>
      </c>
      <c r="B47" s="9" t="s">
        <v>458</v>
      </c>
      <c r="C47" s="9">
        <v>6</v>
      </c>
      <c r="D47" s="9" t="s">
        <v>409</v>
      </c>
      <c r="E47" s="9" t="s">
        <v>459</v>
      </c>
      <c r="F47" s="9">
        <v>709</v>
      </c>
      <c r="G47" s="9" t="s">
        <v>334</v>
      </c>
      <c r="H47" s="9" t="s">
        <v>380</v>
      </c>
      <c r="I47" s="8"/>
      <c r="J47" s="8"/>
      <c r="K47" s="8"/>
      <c r="L47" s="8"/>
    </row>
    <row r="48" spans="1:12" ht="73.5" customHeight="1" x14ac:dyDescent="0.25">
      <c r="A48" s="6" t="s">
        <v>462</v>
      </c>
      <c r="B48" s="9" t="s">
        <v>458</v>
      </c>
      <c r="C48" s="9">
        <v>18</v>
      </c>
      <c r="D48" s="9" t="s">
        <v>411</v>
      </c>
      <c r="E48" s="9" t="s">
        <v>459</v>
      </c>
      <c r="F48" s="9">
        <v>455</v>
      </c>
      <c r="G48" s="9" t="s">
        <v>334</v>
      </c>
      <c r="H48" s="9" t="s">
        <v>380</v>
      </c>
      <c r="I48" s="8"/>
      <c r="J48" s="8"/>
      <c r="K48" s="8"/>
      <c r="L48" s="8"/>
    </row>
    <row r="49" spans="1:12" ht="73.5" customHeight="1" x14ac:dyDescent="0.25">
      <c r="A49" s="6" t="s">
        <v>463</v>
      </c>
      <c r="B49" s="9" t="s">
        <v>458</v>
      </c>
      <c r="C49" s="9">
        <v>8</v>
      </c>
      <c r="D49" s="9" t="s">
        <v>413</v>
      </c>
      <c r="E49" s="9" t="s">
        <v>459</v>
      </c>
      <c r="F49" s="9">
        <v>2266</v>
      </c>
      <c r="G49" s="9" t="s">
        <v>334</v>
      </c>
      <c r="H49" s="9" t="s">
        <v>380</v>
      </c>
      <c r="I49" s="8"/>
      <c r="J49" s="8"/>
      <c r="K49" s="8"/>
      <c r="L49" s="8"/>
    </row>
    <row r="50" spans="1:12" ht="73.5" customHeight="1" x14ac:dyDescent="0.25">
      <c r="A50" s="6" t="s">
        <v>464</v>
      </c>
      <c r="B50" s="9" t="s">
        <v>458</v>
      </c>
      <c r="C50" s="9">
        <v>22</v>
      </c>
      <c r="D50" s="9" t="s">
        <v>415</v>
      </c>
      <c r="E50" s="9" t="s">
        <v>459</v>
      </c>
      <c r="F50" s="9">
        <v>1379</v>
      </c>
      <c r="G50" s="9" t="s">
        <v>334</v>
      </c>
      <c r="H50" s="9" t="s">
        <v>380</v>
      </c>
      <c r="I50" s="8"/>
      <c r="J50" s="8"/>
      <c r="K50" s="8"/>
      <c r="L50" s="8"/>
    </row>
    <row r="51" spans="1:12" ht="73.5" customHeight="1" x14ac:dyDescent="0.25">
      <c r="A51" s="6" t="s">
        <v>465</v>
      </c>
      <c r="B51" s="9" t="s">
        <v>458</v>
      </c>
      <c r="C51" s="9">
        <v>9</v>
      </c>
      <c r="D51" s="9" t="s">
        <v>417</v>
      </c>
      <c r="E51" s="9" t="s">
        <v>459</v>
      </c>
      <c r="F51" s="9">
        <v>1193</v>
      </c>
      <c r="G51" s="9" t="s">
        <v>334</v>
      </c>
      <c r="H51" s="9" t="s">
        <v>380</v>
      </c>
      <c r="I51" s="8"/>
      <c r="J51" s="8"/>
      <c r="K51" s="8"/>
      <c r="L51" s="8"/>
    </row>
    <row r="52" spans="1:12" ht="73.5" customHeight="1" x14ac:dyDescent="0.25">
      <c r="A52" s="6" t="s">
        <v>466</v>
      </c>
      <c r="B52" s="9" t="s">
        <v>458</v>
      </c>
      <c r="C52" s="9">
        <v>15</v>
      </c>
      <c r="D52" s="9" t="s">
        <v>419</v>
      </c>
      <c r="E52" s="9" t="s">
        <v>459</v>
      </c>
      <c r="F52" s="9">
        <v>5494</v>
      </c>
      <c r="G52" s="9" t="s">
        <v>334</v>
      </c>
      <c r="H52" s="9" t="s">
        <v>380</v>
      </c>
      <c r="I52" s="8"/>
      <c r="J52" s="8"/>
      <c r="K52" s="8"/>
      <c r="L52" s="8"/>
    </row>
    <row r="53" spans="1:12" ht="73.5" customHeight="1" x14ac:dyDescent="0.25">
      <c r="A53" s="6" t="s">
        <v>467</v>
      </c>
      <c r="B53" s="9" t="s">
        <v>458</v>
      </c>
      <c r="C53" s="9">
        <v>37</v>
      </c>
      <c r="D53" s="9" t="s">
        <v>421</v>
      </c>
      <c r="E53" s="9" t="s">
        <v>459</v>
      </c>
      <c r="F53" s="9">
        <v>5494</v>
      </c>
      <c r="G53" s="9" t="s">
        <v>334</v>
      </c>
      <c r="H53" s="9" t="s">
        <v>380</v>
      </c>
      <c r="I53" s="8"/>
      <c r="J53" s="8"/>
      <c r="K53" s="8"/>
      <c r="L53" s="8"/>
    </row>
    <row r="54" spans="1:12" ht="73.5" customHeight="1" x14ac:dyDescent="0.25">
      <c r="A54" s="6" t="s">
        <v>468</v>
      </c>
      <c r="B54" s="9" t="s">
        <v>458</v>
      </c>
      <c r="C54" s="9">
        <v>34</v>
      </c>
      <c r="D54" s="9" t="s">
        <v>423</v>
      </c>
      <c r="E54" s="9" t="s">
        <v>459</v>
      </c>
      <c r="F54" s="9">
        <v>-2206</v>
      </c>
      <c r="G54" s="9" t="s">
        <v>334</v>
      </c>
      <c r="H54" s="9" t="s">
        <v>380</v>
      </c>
      <c r="I54" s="8"/>
      <c r="J54" s="8"/>
      <c r="K54" s="8"/>
      <c r="L54" s="8"/>
    </row>
    <row r="55" spans="1:12" ht="73.5" customHeight="1" x14ac:dyDescent="0.25">
      <c r="A55" s="6" t="s">
        <v>469</v>
      </c>
      <c r="B55" s="9" t="s">
        <v>458</v>
      </c>
      <c r="C55" s="9">
        <v>36</v>
      </c>
      <c r="D55" s="9" t="s">
        <v>425</v>
      </c>
      <c r="E55" s="9" t="s">
        <v>459</v>
      </c>
      <c r="F55" s="9">
        <v>-2205</v>
      </c>
      <c r="G55" s="9" t="s">
        <v>334</v>
      </c>
      <c r="H55" s="9" t="s">
        <v>380</v>
      </c>
      <c r="I55" s="8"/>
      <c r="J55" s="8"/>
      <c r="K55" s="8"/>
      <c r="L55" s="8"/>
    </row>
    <row r="56" spans="1:12" ht="73.5" customHeight="1" x14ac:dyDescent="0.25">
      <c r="A56" s="6" t="s">
        <v>470</v>
      </c>
      <c r="B56" s="9" t="s">
        <v>458</v>
      </c>
      <c r="C56" s="9">
        <v>35</v>
      </c>
      <c r="D56" s="9" t="s">
        <v>427</v>
      </c>
      <c r="E56" s="9" t="s">
        <v>459</v>
      </c>
      <c r="F56" s="9">
        <v>1</v>
      </c>
      <c r="G56" s="9" t="s">
        <v>334</v>
      </c>
      <c r="H56" s="9" t="s">
        <v>380</v>
      </c>
      <c r="I56" s="8"/>
      <c r="J56" s="8"/>
      <c r="K56" s="8"/>
      <c r="L56" s="8"/>
    </row>
    <row r="57" spans="1:12" ht="73.5" customHeight="1" x14ac:dyDescent="0.25">
      <c r="A57" s="6" t="s">
        <v>471</v>
      </c>
      <c r="B57" s="9" t="s">
        <v>458</v>
      </c>
      <c r="C57" s="9">
        <v>24</v>
      </c>
      <c r="D57" s="9" t="s">
        <v>429</v>
      </c>
      <c r="E57" s="9" t="s">
        <v>459</v>
      </c>
      <c r="F57" s="9">
        <v>4862</v>
      </c>
      <c r="G57" s="9" t="s">
        <v>334</v>
      </c>
      <c r="H57" s="9" t="s">
        <v>380</v>
      </c>
      <c r="I57" s="8"/>
      <c r="J57" s="8"/>
      <c r="K57" s="8"/>
      <c r="L57" s="8"/>
    </row>
    <row r="58" spans="1:12" ht="73.5" customHeight="1" x14ac:dyDescent="0.25">
      <c r="A58" s="6" t="s">
        <v>472</v>
      </c>
      <c r="B58" s="9" t="s">
        <v>473</v>
      </c>
      <c r="C58" s="9">
        <v>5</v>
      </c>
      <c r="D58" s="9" t="s">
        <v>432</v>
      </c>
      <c r="E58" s="9" t="s">
        <v>445</v>
      </c>
      <c r="F58" s="9">
        <v>221</v>
      </c>
      <c r="G58" s="9" t="s">
        <v>334</v>
      </c>
      <c r="H58" s="9" t="s">
        <v>446</v>
      </c>
      <c r="I58" s="8"/>
      <c r="J58" s="8"/>
      <c r="K58" s="8"/>
      <c r="L58" s="8"/>
    </row>
    <row r="59" spans="1:12" ht="73.5" customHeight="1" x14ac:dyDescent="0.25">
      <c r="A59" s="6" t="s">
        <v>474</v>
      </c>
      <c r="B59" s="9" t="s">
        <v>473</v>
      </c>
      <c r="C59" s="9">
        <v>7</v>
      </c>
      <c r="D59" s="9" t="s">
        <v>434</v>
      </c>
      <c r="E59" s="9" t="s">
        <v>445</v>
      </c>
      <c r="F59" s="9">
        <v>38</v>
      </c>
      <c r="G59" s="9" t="s">
        <v>334</v>
      </c>
      <c r="H59" s="9" t="s">
        <v>446</v>
      </c>
      <c r="I59" s="8"/>
      <c r="J59" s="8"/>
      <c r="K59" s="8"/>
      <c r="L59" s="8"/>
    </row>
    <row r="60" spans="1:12" ht="73.5" customHeight="1" x14ac:dyDescent="0.25">
      <c r="A60" s="6" t="s">
        <v>475</v>
      </c>
      <c r="B60" s="9" t="s">
        <v>473</v>
      </c>
      <c r="C60" s="9">
        <v>22</v>
      </c>
      <c r="D60" s="9" t="s">
        <v>436</v>
      </c>
      <c r="E60" s="9" t="s">
        <v>445</v>
      </c>
      <c r="F60" s="9">
        <v>-328</v>
      </c>
      <c r="G60" s="9" t="s">
        <v>334</v>
      </c>
      <c r="H60" s="9" t="s">
        <v>446</v>
      </c>
      <c r="I60" s="8"/>
      <c r="J60" s="8"/>
      <c r="K60" s="8"/>
      <c r="L60" s="8"/>
    </row>
    <row r="61" spans="1:12" ht="73.5" customHeight="1" x14ac:dyDescent="0.25">
      <c r="A61" s="6" t="s">
        <v>476</v>
      </c>
      <c r="B61" s="9" t="s">
        <v>473</v>
      </c>
      <c r="C61" s="9">
        <v>20</v>
      </c>
      <c r="D61" s="9" t="s">
        <v>438</v>
      </c>
      <c r="E61" s="9" t="s">
        <v>445</v>
      </c>
      <c r="F61" s="9">
        <v>1144</v>
      </c>
      <c r="G61" s="9" t="s">
        <v>334</v>
      </c>
      <c r="H61" s="9" t="s">
        <v>446</v>
      </c>
      <c r="I61" s="8"/>
      <c r="J61" s="8"/>
      <c r="K61" s="8"/>
      <c r="L61" s="8"/>
    </row>
    <row r="62" spans="1:12" ht="73.5" customHeight="1" x14ac:dyDescent="0.25">
      <c r="A62" s="6" t="s">
        <v>477</v>
      </c>
      <c r="B62" s="9" t="s">
        <v>473</v>
      </c>
      <c r="C62" s="9">
        <v>25</v>
      </c>
      <c r="D62" s="9" t="s">
        <v>440</v>
      </c>
      <c r="E62" s="9" t="s">
        <v>445</v>
      </c>
      <c r="F62" s="9">
        <v>-328</v>
      </c>
      <c r="G62" s="9" t="s">
        <v>334</v>
      </c>
      <c r="H62" s="9" t="s">
        <v>446</v>
      </c>
      <c r="I62" s="8"/>
      <c r="J62" s="8"/>
      <c r="K62" s="8"/>
      <c r="L62" s="8"/>
    </row>
    <row r="63" spans="1:12" ht="73.5" customHeight="1" x14ac:dyDescent="0.25">
      <c r="A63" s="6" t="s">
        <v>478</v>
      </c>
      <c r="B63" s="9" t="s">
        <v>473</v>
      </c>
      <c r="C63" s="9">
        <v>34</v>
      </c>
      <c r="D63" s="9" t="s">
        <v>442</v>
      </c>
      <c r="E63" s="9" t="s">
        <v>445</v>
      </c>
      <c r="F63" s="9">
        <v>-1562</v>
      </c>
      <c r="G63" s="9" t="s">
        <v>334</v>
      </c>
      <c r="H63" s="9" t="s">
        <v>446</v>
      </c>
      <c r="I63" s="8"/>
      <c r="J63" s="8"/>
      <c r="K63" s="8"/>
      <c r="L63" s="8"/>
    </row>
    <row r="64" spans="1:12" ht="73.5" customHeight="1" x14ac:dyDescent="0.25">
      <c r="A64" s="6" t="s">
        <v>479</v>
      </c>
      <c r="B64" s="9" t="s">
        <v>480</v>
      </c>
      <c r="C64" s="9">
        <v>8</v>
      </c>
      <c r="D64" s="9" t="s">
        <v>382</v>
      </c>
      <c r="E64" s="9" t="s">
        <v>481</v>
      </c>
      <c r="F64" s="9">
        <v>-1951</v>
      </c>
      <c r="G64" s="9" t="s">
        <v>334</v>
      </c>
      <c r="H64" s="9" t="s">
        <v>482</v>
      </c>
      <c r="I64" s="8"/>
      <c r="J64" s="8"/>
      <c r="K64" s="8"/>
      <c r="L64" s="8"/>
    </row>
    <row r="65" spans="1:12" ht="73.5" customHeight="1" x14ac:dyDescent="0.25">
      <c r="A65" s="6" t="s">
        <v>483</v>
      </c>
      <c r="B65" s="9" t="s">
        <v>480</v>
      </c>
      <c r="C65" s="9">
        <v>2</v>
      </c>
      <c r="D65" s="9" t="s">
        <v>384</v>
      </c>
      <c r="E65" s="9" t="s">
        <v>481</v>
      </c>
      <c r="F65" s="9">
        <v>7429</v>
      </c>
      <c r="G65" s="9" t="s">
        <v>334</v>
      </c>
      <c r="H65" s="9" t="s">
        <v>482</v>
      </c>
      <c r="I65" s="8"/>
      <c r="J65" s="8"/>
      <c r="K65" s="8"/>
      <c r="L65" s="8"/>
    </row>
    <row r="66" spans="1:12" ht="73.5" customHeight="1" x14ac:dyDescent="0.25">
      <c r="A66" s="6" t="s">
        <v>484</v>
      </c>
      <c r="B66" s="9" t="s">
        <v>480</v>
      </c>
      <c r="C66" s="9">
        <v>6</v>
      </c>
      <c r="D66" s="9" t="s">
        <v>386</v>
      </c>
      <c r="E66" s="9" t="s">
        <v>481</v>
      </c>
      <c r="F66" s="9">
        <v>-4193</v>
      </c>
      <c r="G66" s="9" t="s">
        <v>334</v>
      </c>
      <c r="H66" s="9" t="s">
        <v>482</v>
      </c>
      <c r="I66" s="8"/>
      <c r="J66" s="8"/>
      <c r="K66" s="8"/>
      <c r="L66" s="8"/>
    </row>
    <row r="67" spans="1:12" ht="73.5" customHeight="1" x14ac:dyDescent="0.25">
      <c r="A67" s="6" t="s">
        <v>485</v>
      </c>
      <c r="B67" s="9" t="s">
        <v>480</v>
      </c>
      <c r="C67" s="9">
        <v>7</v>
      </c>
      <c r="D67" s="9" t="s">
        <v>388</v>
      </c>
      <c r="E67" s="9" t="s">
        <v>481</v>
      </c>
      <c r="F67" s="9">
        <v>3236</v>
      </c>
      <c r="G67" s="9" t="s">
        <v>334</v>
      </c>
      <c r="H67" s="9" t="s">
        <v>482</v>
      </c>
      <c r="I67" s="8"/>
      <c r="J67" s="8"/>
      <c r="K67" s="8"/>
      <c r="L67" s="8"/>
    </row>
    <row r="68" spans="1:12" ht="73.5" customHeight="1" x14ac:dyDescent="0.25">
      <c r="A68" s="6" t="s">
        <v>486</v>
      </c>
      <c r="B68" s="9" t="s">
        <v>480</v>
      </c>
      <c r="C68" s="9">
        <v>9</v>
      </c>
      <c r="D68" s="9" t="s">
        <v>390</v>
      </c>
      <c r="E68" s="9" t="s">
        <v>481</v>
      </c>
      <c r="F68" s="9">
        <v>1285</v>
      </c>
      <c r="G68" s="9" t="s">
        <v>334</v>
      </c>
      <c r="H68" s="9" t="s">
        <v>482</v>
      </c>
      <c r="I68" s="8"/>
      <c r="J68" s="8"/>
      <c r="K68" s="8"/>
      <c r="L68" s="8"/>
    </row>
    <row r="69" spans="1:12" ht="73.5" customHeight="1" x14ac:dyDescent="0.25">
      <c r="A69" s="6" t="s">
        <v>487</v>
      </c>
      <c r="B69" s="9" t="s">
        <v>480</v>
      </c>
      <c r="C69" s="9">
        <v>12</v>
      </c>
      <c r="D69" s="9" t="s">
        <v>392</v>
      </c>
      <c r="E69" s="9" t="s">
        <v>481</v>
      </c>
      <c r="F69" s="9">
        <v>1021</v>
      </c>
      <c r="G69" s="9" t="s">
        <v>334</v>
      </c>
      <c r="H69" s="9" t="s">
        <v>482</v>
      </c>
      <c r="I69" s="8"/>
      <c r="J69" s="8"/>
      <c r="K69" s="8"/>
      <c r="L69" s="8"/>
    </row>
    <row r="70" spans="1:12" ht="73.5" customHeight="1" x14ac:dyDescent="0.25">
      <c r="A70" s="6" t="s">
        <v>488</v>
      </c>
      <c r="B70" s="9" t="s">
        <v>480</v>
      </c>
      <c r="C70" s="9">
        <v>13</v>
      </c>
      <c r="D70" s="9" t="s">
        <v>394</v>
      </c>
      <c r="E70" s="9" t="s">
        <v>481</v>
      </c>
      <c r="F70" s="9">
        <v>-143</v>
      </c>
      <c r="G70" s="9" t="s">
        <v>334</v>
      </c>
      <c r="H70" s="9" t="s">
        <v>482</v>
      </c>
      <c r="I70" s="8"/>
      <c r="J70" s="8"/>
      <c r="K70" s="8"/>
      <c r="L70" s="8"/>
    </row>
    <row r="71" spans="1:12" ht="73.5" customHeight="1" x14ac:dyDescent="0.25">
      <c r="A71" s="6" t="s">
        <v>489</v>
      </c>
      <c r="B71" s="9" t="s">
        <v>480</v>
      </c>
      <c r="C71" s="9">
        <v>14</v>
      </c>
      <c r="D71" s="9" t="s">
        <v>396</v>
      </c>
      <c r="E71" s="9" t="s">
        <v>481</v>
      </c>
      <c r="F71" s="9">
        <v>878</v>
      </c>
      <c r="G71" s="9" t="s">
        <v>334</v>
      </c>
      <c r="H71" s="9" t="s">
        <v>482</v>
      </c>
      <c r="I71" s="8"/>
      <c r="J71" s="8"/>
      <c r="K71" s="8"/>
      <c r="L71" s="8"/>
    </row>
    <row r="72" spans="1:12" ht="73.5" customHeight="1" x14ac:dyDescent="0.25">
      <c r="A72" s="6" t="s">
        <v>490</v>
      </c>
      <c r="B72" s="9" t="s">
        <v>480</v>
      </c>
      <c r="C72" s="9">
        <v>10</v>
      </c>
      <c r="D72" s="9" t="s">
        <v>400</v>
      </c>
      <c r="E72" s="9" t="s">
        <v>481</v>
      </c>
      <c r="F72" s="9">
        <v>-345</v>
      </c>
      <c r="G72" s="9" t="s">
        <v>334</v>
      </c>
      <c r="H72" s="9" t="s">
        <v>482</v>
      </c>
      <c r="I72" s="8"/>
      <c r="J72" s="8"/>
      <c r="K72" s="8"/>
      <c r="L72" s="8"/>
    </row>
    <row r="73" spans="1:12" ht="73.5" customHeight="1" x14ac:dyDescent="0.25">
      <c r="A73" s="6" t="s">
        <v>491</v>
      </c>
      <c r="B73" s="9" t="s">
        <v>492</v>
      </c>
      <c r="C73" s="9">
        <v>4</v>
      </c>
      <c r="D73" s="9" t="s">
        <v>403</v>
      </c>
      <c r="E73" s="9" t="s">
        <v>493</v>
      </c>
      <c r="F73" s="9">
        <v>1084</v>
      </c>
      <c r="G73" s="9" t="s">
        <v>334</v>
      </c>
      <c r="H73" s="9" t="s">
        <v>446</v>
      </c>
      <c r="I73" s="8"/>
      <c r="J73" s="8"/>
      <c r="K73" s="8"/>
      <c r="L73" s="8"/>
    </row>
    <row r="74" spans="1:12" ht="73.5" customHeight="1" x14ac:dyDescent="0.25">
      <c r="A74" s="6" t="s">
        <v>494</v>
      </c>
      <c r="B74" s="9" t="s">
        <v>492</v>
      </c>
      <c r="C74" s="9">
        <v>5</v>
      </c>
      <c r="D74" s="9" t="s">
        <v>407</v>
      </c>
      <c r="E74" s="9" t="s">
        <v>493</v>
      </c>
      <c r="F74" s="9">
        <v>224</v>
      </c>
      <c r="G74" s="9" t="s">
        <v>334</v>
      </c>
      <c r="H74" s="9" t="s">
        <v>446</v>
      </c>
      <c r="I74" s="8"/>
      <c r="J74" s="8"/>
      <c r="K74" s="8"/>
      <c r="L74" s="8"/>
    </row>
    <row r="75" spans="1:12" ht="73.5" customHeight="1" x14ac:dyDescent="0.25">
      <c r="A75" s="6" t="s">
        <v>495</v>
      </c>
      <c r="B75" s="9" t="s">
        <v>492</v>
      </c>
      <c r="C75" s="9">
        <v>6</v>
      </c>
      <c r="D75" s="9" t="s">
        <v>409</v>
      </c>
      <c r="E75" s="9" t="s">
        <v>493</v>
      </c>
      <c r="F75" s="9">
        <v>710</v>
      </c>
      <c r="G75" s="9" t="s">
        <v>334</v>
      </c>
      <c r="H75" s="9" t="s">
        <v>446</v>
      </c>
      <c r="I75" s="8"/>
      <c r="J75" s="8"/>
      <c r="K75" s="8"/>
      <c r="L75" s="8"/>
    </row>
    <row r="76" spans="1:12" ht="73.5" customHeight="1" x14ac:dyDescent="0.25">
      <c r="A76" s="6" t="s">
        <v>496</v>
      </c>
      <c r="B76" s="9" t="s">
        <v>492</v>
      </c>
      <c r="C76" s="9">
        <v>19</v>
      </c>
      <c r="D76" s="9" t="s">
        <v>411</v>
      </c>
      <c r="E76" s="9" t="s">
        <v>493</v>
      </c>
      <c r="F76" s="9">
        <v>380</v>
      </c>
      <c r="G76" s="9" t="s">
        <v>334</v>
      </c>
      <c r="H76" s="9" t="s">
        <v>446</v>
      </c>
      <c r="I76" s="8"/>
      <c r="J76" s="8"/>
      <c r="K76" s="8"/>
      <c r="L76" s="8"/>
    </row>
    <row r="77" spans="1:12" ht="73.5" customHeight="1" x14ac:dyDescent="0.25">
      <c r="A77" s="6" t="s">
        <v>497</v>
      </c>
      <c r="B77" s="9" t="s">
        <v>492</v>
      </c>
      <c r="C77" s="9">
        <v>9</v>
      </c>
      <c r="D77" s="9" t="s">
        <v>413</v>
      </c>
      <c r="E77" s="9" t="s">
        <v>493</v>
      </c>
      <c r="F77" s="9">
        <v>2115</v>
      </c>
      <c r="G77" s="9" t="s">
        <v>334</v>
      </c>
      <c r="H77" s="9" t="s">
        <v>446</v>
      </c>
      <c r="I77" s="8"/>
      <c r="J77" s="8"/>
      <c r="K77" s="8"/>
      <c r="L77" s="8"/>
    </row>
    <row r="78" spans="1:12" ht="73.5" customHeight="1" x14ac:dyDescent="0.25">
      <c r="A78" s="6" t="s">
        <v>498</v>
      </c>
      <c r="B78" s="9" t="s">
        <v>492</v>
      </c>
      <c r="C78" s="9">
        <v>23</v>
      </c>
      <c r="D78" s="9" t="s">
        <v>415</v>
      </c>
      <c r="E78" s="9" t="s">
        <v>493</v>
      </c>
      <c r="F78" s="9">
        <v>1289</v>
      </c>
      <c r="G78" s="9" t="s">
        <v>334</v>
      </c>
      <c r="H78" s="9" t="s">
        <v>446</v>
      </c>
      <c r="I78" s="8"/>
      <c r="J78" s="8"/>
      <c r="K78" s="8"/>
      <c r="L78" s="8"/>
    </row>
    <row r="79" spans="1:12" ht="73.5" customHeight="1" x14ac:dyDescent="0.25">
      <c r="A79" s="6" t="s">
        <v>499</v>
      </c>
      <c r="B79" s="9" t="s">
        <v>492</v>
      </c>
      <c r="C79" s="9">
        <v>10</v>
      </c>
      <c r="D79" s="9" t="s">
        <v>417</v>
      </c>
      <c r="E79" s="9" t="s">
        <v>493</v>
      </c>
      <c r="F79" s="9">
        <v>1220</v>
      </c>
      <c r="G79" s="9" t="s">
        <v>334</v>
      </c>
      <c r="H79" s="9" t="s">
        <v>446</v>
      </c>
      <c r="I79" s="8"/>
      <c r="J79" s="8"/>
      <c r="K79" s="8"/>
      <c r="L79" s="8"/>
    </row>
    <row r="80" spans="1:12" ht="73.5" customHeight="1" x14ac:dyDescent="0.25">
      <c r="A80" s="6" t="s">
        <v>500</v>
      </c>
      <c r="B80" s="9" t="s">
        <v>492</v>
      </c>
      <c r="C80" s="9">
        <v>16</v>
      </c>
      <c r="D80" s="9" t="s">
        <v>419</v>
      </c>
      <c r="E80" s="9" t="s">
        <v>493</v>
      </c>
      <c r="F80" s="9">
        <v>5463</v>
      </c>
      <c r="G80" s="9" t="s">
        <v>334</v>
      </c>
      <c r="H80" s="9" t="s">
        <v>446</v>
      </c>
      <c r="I80" s="8"/>
      <c r="J80" s="8"/>
      <c r="K80" s="8"/>
      <c r="L80" s="8"/>
    </row>
    <row r="81" spans="1:12" ht="73.5" customHeight="1" x14ac:dyDescent="0.25">
      <c r="A81" s="6" t="s">
        <v>501</v>
      </c>
      <c r="B81" s="9" t="s">
        <v>492</v>
      </c>
      <c r="C81" s="9">
        <v>38</v>
      </c>
      <c r="D81" s="9" t="s">
        <v>421</v>
      </c>
      <c r="E81" s="9" t="s">
        <v>493</v>
      </c>
      <c r="F81" s="9">
        <v>5463</v>
      </c>
      <c r="G81" s="9" t="s">
        <v>334</v>
      </c>
      <c r="H81" s="9" t="s">
        <v>446</v>
      </c>
      <c r="I81" s="8"/>
      <c r="J81" s="8"/>
      <c r="K81" s="8"/>
      <c r="L81" s="8"/>
    </row>
    <row r="82" spans="1:12" ht="73.5" customHeight="1" x14ac:dyDescent="0.25">
      <c r="A82" s="6" t="s">
        <v>502</v>
      </c>
      <c r="B82" s="9" t="s">
        <v>492</v>
      </c>
      <c r="C82" s="9">
        <v>35</v>
      </c>
      <c r="D82" s="9" t="s">
        <v>423</v>
      </c>
      <c r="E82" s="9" t="s">
        <v>493</v>
      </c>
      <c r="F82" s="9">
        <v>-1627</v>
      </c>
      <c r="G82" s="9" t="s">
        <v>334</v>
      </c>
      <c r="H82" s="9" t="s">
        <v>446</v>
      </c>
      <c r="I82" s="8"/>
      <c r="J82" s="8"/>
      <c r="K82" s="8"/>
      <c r="L82" s="8"/>
    </row>
    <row r="83" spans="1:12" ht="73.5" customHeight="1" x14ac:dyDescent="0.25">
      <c r="A83" s="6" t="s">
        <v>503</v>
      </c>
      <c r="B83" s="9" t="s">
        <v>492</v>
      </c>
      <c r="C83" s="9">
        <v>37</v>
      </c>
      <c r="D83" s="9" t="s">
        <v>425</v>
      </c>
      <c r="E83" s="9" t="s">
        <v>493</v>
      </c>
      <c r="F83" s="9">
        <v>-1626</v>
      </c>
      <c r="G83" s="9" t="s">
        <v>334</v>
      </c>
      <c r="H83" s="9" t="s">
        <v>446</v>
      </c>
      <c r="I83" s="8"/>
      <c r="J83" s="8"/>
      <c r="K83" s="8"/>
      <c r="L83" s="8"/>
    </row>
    <row r="84" spans="1:12" ht="73.5" customHeight="1" x14ac:dyDescent="0.25">
      <c r="A84" s="6" t="s">
        <v>504</v>
      </c>
      <c r="B84" s="9" t="s">
        <v>492</v>
      </c>
      <c r="C84" s="9">
        <v>36</v>
      </c>
      <c r="D84" s="9" t="s">
        <v>427</v>
      </c>
      <c r="E84" s="9" t="s">
        <v>493</v>
      </c>
      <c r="F84" s="9">
        <v>1</v>
      </c>
      <c r="G84" s="9" t="s">
        <v>334</v>
      </c>
      <c r="H84" s="9" t="s">
        <v>446</v>
      </c>
      <c r="I84" s="8"/>
      <c r="J84" s="8"/>
      <c r="K84" s="8"/>
      <c r="L84" s="8"/>
    </row>
    <row r="85" spans="1:12" ht="73.5" customHeight="1" x14ac:dyDescent="0.25">
      <c r="A85" s="6" t="s">
        <v>505</v>
      </c>
      <c r="B85" s="9" t="s">
        <v>492</v>
      </c>
      <c r="C85" s="9">
        <v>25</v>
      </c>
      <c r="D85" s="9" t="s">
        <v>429</v>
      </c>
      <c r="E85" s="9" t="s">
        <v>493</v>
      </c>
      <c r="F85" s="9">
        <v>4388</v>
      </c>
      <c r="G85" s="9" t="s">
        <v>334</v>
      </c>
      <c r="H85" s="9" t="s">
        <v>446</v>
      </c>
      <c r="I85" s="8"/>
      <c r="J85" s="8"/>
      <c r="K85" s="8"/>
      <c r="L85" s="8"/>
    </row>
    <row r="86" spans="1:12" ht="73.5" customHeight="1" x14ac:dyDescent="0.25">
      <c r="A86" s="6" t="s">
        <v>506</v>
      </c>
      <c r="B86" s="9" t="s">
        <v>507</v>
      </c>
      <c r="C86" s="9">
        <v>5</v>
      </c>
      <c r="D86" s="9" t="s">
        <v>432</v>
      </c>
      <c r="E86" s="9" t="s">
        <v>481</v>
      </c>
      <c r="F86" s="9">
        <v>269</v>
      </c>
      <c r="G86" s="9" t="s">
        <v>334</v>
      </c>
      <c r="H86" s="9" t="s">
        <v>482</v>
      </c>
      <c r="I86" s="8"/>
      <c r="J86" s="8"/>
      <c r="K86" s="8"/>
      <c r="L86" s="8"/>
    </row>
    <row r="87" spans="1:12" ht="73.5" customHeight="1" x14ac:dyDescent="0.25">
      <c r="A87" s="6" t="s">
        <v>508</v>
      </c>
      <c r="B87" s="9" t="s">
        <v>507</v>
      </c>
      <c r="C87" s="9">
        <v>7</v>
      </c>
      <c r="D87" s="9" t="s">
        <v>434</v>
      </c>
      <c r="E87" s="9" t="s">
        <v>481</v>
      </c>
      <c r="F87" s="9">
        <v>43</v>
      </c>
      <c r="G87" s="9" t="s">
        <v>334</v>
      </c>
      <c r="H87" s="9" t="s">
        <v>482</v>
      </c>
      <c r="I87" s="8"/>
      <c r="J87" s="8"/>
      <c r="K87" s="8"/>
      <c r="L87" s="8"/>
    </row>
    <row r="88" spans="1:12" ht="73.5" customHeight="1" x14ac:dyDescent="0.25">
      <c r="A88" s="6" t="s">
        <v>509</v>
      </c>
      <c r="B88" s="9" t="s">
        <v>507</v>
      </c>
      <c r="C88" s="9">
        <v>23</v>
      </c>
      <c r="D88" s="9" t="s">
        <v>436</v>
      </c>
      <c r="E88" s="9" t="s">
        <v>481</v>
      </c>
      <c r="F88" s="9">
        <v>-298</v>
      </c>
      <c r="G88" s="9" t="s">
        <v>334</v>
      </c>
      <c r="H88" s="9" t="s">
        <v>482</v>
      </c>
      <c r="I88" s="8"/>
      <c r="J88" s="8"/>
      <c r="K88" s="8"/>
      <c r="L88" s="8"/>
    </row>
    <row r="89" spans="1:12" ht="73.5" customHeight="1" x14ac:dyDescent="0.25">
      <c r="A89" s="6" t="s">
        <v>510</v>
      </c>
      <c r="B89" s="9" t="s">
        <v>507</v>
      </c>
      <c r="C89" s="9">
        <v>21</v>
      </c>
      <c r="D89" s="9" t="s">
        <v>438</v>
      </c>
      <c r="E89" s="9" t="s">
        <v>481</v>
      </c>
      <c r="F89" s="9">
        <v>954</v>
      </c>
      <c r="G89" s="9" t="s">
        <v>334</v>
      </c>
      <c r="H89" s="9" t="s">
        <v>482</v>
      </c>
      <c r="I89" s="8"/>
      <c r="J89" s="8"/>
      <c r="K89" s="8"/>
      <c r="L89" s="8"/>
    </row>
    <row r="90" spans="1:12" ht="73.5" customHeight="1" x14ac:dyDescent="0.25">
      <c r="A90" s="6" t="s">
        <v>511</v>
      </c>
      <c r="B90" s="9" t="s">
        <v>507</v>
      </c>
      <c r="C90" s="9">
        <v>27</v>
      </c>
      <c r="D90" s="9" t="s">
        <v>440</v>
      </c>
      <c r="E90" s="9" t="s">
        <v>481</v>
      </c>
      <c r="F90" s="9">
        <v>-286</v>
      </c>
      <c r="G90" s="9" t="s">
        <v>334</v>
      </c>
      <c r="H90" s="9" t="s">
        <v>482</v>
      </c>
      <c r="I90" s="8"/>
      <c r="J90" s="8"/>
      <c r="K90" s="8"/>
      <c r="L90" s="8"/>
    </row>
    <row r="91" spans="1:12" ht="73.5" customHeight="1" x14ac:dyDescent="0.25">
      <c r="A91" s="6" t="s">
        <v>512</v>
      </c>
      <c r="B91" s="9" t="s">
        <v>507</v>
      </c>
      <c r="C91" s="9">
        <v>35</v>
      </c>
      <c r="D91" s="9" t="s">
        <v>442</v>
      </c>
      <c r="E91" s="9" t="s">
        <v>481</v>
      </c>
      <c r="F91" s="9">
        <v>-815</v>
      </c>
      <c r="G91" s="9" t="s">
        <v>334</v>
      </c>
      <c r="H91" s="9" t="s">
        <v>482</v>
      </c>
      <c r="I91" s="8"/>
      <c r="J91" s="8"/>
      <c r="K91" s="8"/>
      <c r="L91" s="8"/>
    </row>
    <row r="92" spans="1:12" ht="73.5" customHeight="1" x14ac:dyDescent="0.25">
      <c r="A92" s="6" t="s">
        <v>513</v>
      </c>
      <c r="B92" s="9" t="s">
        <v>480</v>
      </c>
      <c r="C92" s="9">
        <v>8</v>
      </c>
      <c r="D92" s="9" t="s">
        <v>382</v>
      </c>
      <c r="E92" s="9" t="s">
        <v>514</v>
      </c>
      <c r="F92" s="9">
        <v>-1968</v>
      </c>
      <c r="G92" s="9" t="s">
        <v>334</v>
      </c>
      <c r="H92" s="9" t="s">
        <v>482</v>
      </c>
      <c r="I92" s="8"/>
      <c r="J92" s="8"/>
      <c r="K92" s="8"/>
      <c r="L92" s="8"/>
    </row>
    <row r="93" spans="1:12" ht="73.5" customHeight="1" x14ac:dyDescent="0.25">
      <c r="A93" s="6" t="s">
        <v>515</v>
      </c>
      <c r="B93" s="9" t="s">
        <v>480</v>
      </c>
      <c r="C93" s="9">
        <v>2</v>
      </c>
      <c r="D93" s="9" t="s">
        <v>384</v>
      </c>
      <c r="E93" s="9" t="s">
        <v>514</v>
      </c>
      <c r="F93" s="9">
        <v>7307</v>
      </c>
      <c r="G93" s="9" t="s">
        <v>334</v>
      </c>
      <c r="H93" s="9" t="s">
        <v>482</v>
      </c>
      <c r="I93" s="8"/>
      <c r="J93" s="8"/>
      <c r="K93" s="8"/>
      <c r="L93" s="8"/>
    </row>
    <row r="94" spans="1:12" ht="73.5" customHeight="1" x14ac:dyDescent="0.25">
      <c r="A94" s="6" t="s">
        <v>516</v>
      </c>
      <c r="B94" s="9" t="s">
        <v>480</v>
      </c>
      <c r="C94" s="9">
        <v>6</v>
      </c>
      <c r="D94" s="9" t="s">
        <v>386</v>
      </c>
      <c r="E94" s="9" t="s">
        <v>514</v>
      </c>
      <c r="F94" s="9">
        <v>-4073</v>
      </c>
      <c r="G94" s="9" t="s">
        <v>334</v>
      </c>
      <c r="H94" s="9" t="s">
        <v>482</v>
      </c>
      <c r="I94" s="8"/>
      <c r="J94" s="8"/>
      <c r="K94" s="8"/>
      <c r="L94" s="8"/>
    </row>
    <row r="95" spans="1:12" ht="73.5" customHeight="1" x14ac:dyDescent="0.25">
      <c r="A95" s="6" t="s">
        <v>517</v>
      </c>
      <c r="B95" s="9" t="s">
        <v>480</v>
      </c>
      <c r="C95" s="9">
        <v>7</v>
      </c>
      <c r="D95" s="9" t="s">
        <v>388</v>
      </c>
      <c r="E95" s="9" t="s">
        <v>514</v>
      </c>
      <c r="F95" s="9">
        <v>3234</v>
      </c>
      <c r="G95" s="9" t="s">
        <v>334</v>
      </c>
      <c r="H95" s="9" t="s">
        <v>482</v>
      </c>
      <c r="I95" s="8"/>
      <c r="J95" s="8"/>
      <c r="K95" s="8"/>
      <c r="L95" s="8"/>
    </row>
    <row r="96" spans="1:12" ht="73.5" customHeight="1" x14ac:dyDescent="0.25">
      <c r="A96" s="6" t="s">
        <v>518</v>
      </c>
      <c r="B96" s="9" t="s">
        <v>480</v>
      </c>
      <c r="C96" s="9">
        <v>9</v>
      </c>
      <c r="D96" s="9" t="s">
        <v>390</v>
      </c>
      <c r="E96" s="9" t="s">
        <v>514</v>
      </c>
      <c r="F96" s="9">
        <v>1266</v>
      </c>
      <c r="G96" s="9" t="s">
        <v>334</v>
      </c>
      <c r="H96" s="9" t="s">
        <v>482</v>
      </c>
      <c r="I96" s="8"/>
      <c r="J96" s="8"/>
      <c r="K96" s="8"/>
      <c r="L96" s="8"/>
    </row>
    <row r="97" spans="1:12" ht="73.5" customHeight="1" x14ac:dyDescent="0.25">
      <c r="A97" s="6" t="s">
        <v>519</v>
      </c>
      <c r="B97" s="9" t="s">
        <v>480</v>
      </c>
      <c r="C97" s="9">
        <v>12</v>
      </c>
      <c r="D97" s="9" t="s">
        <v>392</v>
      </c>
      <c r="E97" s="9" t="s">
        <v>514</v>
      </c>
      <c r="F97" s="9">
        <v>1028</v>
      </c>
      <c r="G97" s="9" t="s">
        <v>334</v>
      </c>
      <c r="H97" s="9" t="s">
        <v>482</v>
      </c>
      <c r="I97" s="8"/>
      <c r="J97" s="8"/>
      <c r="K97" s="8"/>
      <c r="L97" s="8"/>
    </row>
    <row r="98" spans="1:12" ht="73.5" customHeight="1" x14ac:dyDescent="0.25">
      <c r="A98" s="6" t="s">
        <v>520</v>
      </c>
      <c r="B98" s="9" t="s">
        <v>480</v>
      </c>
      <c r="C98" s="9">
        <v>13</v>
      </c>
      <c r="D98" s="9" t="s">
        <v>394</v>
      </c>
      <c r="E98" s="9" t="s">
        <v>514</v>
      </c>
      <c r="F98" s="9">
        <v>-230</v>
      </c>
      <c r="G98" s="9" t="s">
        <v>334</v>
      </c>
      <c r="H98" s="9" t="s">
        <v>482</v>
      </c>
      <c r="I98" s="8"/>
      <c r="J98" s="8"/>
      <c r="K98" s="8"/>
      <c r="L98" s="8"/>
    </row>
    <row r="99" spans="1:12" ht="73.5" customHeight="1" x14ac:dyDescent="0.25">
      <c r="A99" s="6" t="s">
        <v>521</v>
      </c>
      <c r="B99" s="9" t="s">
        <v>480</v>
      </c>
      <c r="C99" s="9">
        <v>14</v>
      </c>
      <c r="D99" s="9" t="s">
        <v>396</v>
      </c>
      <c r="E99" s="9" t="s">
        <v>514</v>
      </c>
      <c r="F99" s="9">
        <v>798</v>
      </c>
      <c r="G99" s="9" t="s">
        <v>334</v>
      </c>
      <c r="H99" s="9" t="s">
        <v>482</v>
      </c>
      <c r="I99" s="8"/>
      <c r="J99" s="8"/>
      <c r="K99" s="8"/>
      <c r="L99" s="8"/>
    </row>
    <row r="100" spans="1:12" ht="73.5" customHeight="1" x14ac:dyDescent="0.25">
      <c r="A100" s="6" t="s">
        <v>522</v>
      </c>
      <c r="B100" s="9" t="s">
        <v>480</v>
      </c>
      <c r="C100" s="9">
        <v>10</v>
      </c>
      <c r="D100" s="9" t="s">
        <v>400</v>
      </c>
      <c r="E100" s="9" t="s">
        <v>514</v>
      </c>
      <c r="F100" s="9">
        <v>-312</v>
      </c>
      <c r="G100" s="9" t="s">
        <v>334</v>
      </c>
      <c r="H100" s="9" t="s">
        <v>482</v>
      </c>
      <c r="I100" s="8"/>
      <c r="J100" s="8"/>
      <c r="K100" s="8"/>
      <c r="L100" s="8"/>
    </row>
    <row r="101" spans="1:12" ht="73.5" customHeight="1" x14ac:dyDescent="0.25">
      <c r="A101" s="6" t="s">
        <v>523</v>
      </c>
      <c r="B101" s="9" t="s">
        <v>524</v>
      </c>
      <c r="C101" s="9">
        <v>4</v>
      </c>
      <c r="D101" s="9" t="s">
        <v>403</v>
      </c>
      <c r="E101" s="9" t="s">
        <v>525</v>
      </c>
      <c r="F101" s="9">
        <v>674</v>
      </c>
      <c r="G101" s="9" t="s">
        <v>334</v>
      </c>
      <c r="H101" s="9" t="s">
        <v>482</v>
      </c>
      <c r="I101" s="8"/>
      <c r="J101" s="8"/>
      <c r="K101" s="8"/>
      <c r="L101" s="8"/>
    </row>
    <row r="102" spans="1:12" ht="73.5" customHeight="1" x14ac:dyDescent="0.25">
      <c r="A102" s="6" t="s">
        <v>526</v>
      </c>
      <c r="B102" s="9" t="s">
        <v>524</v>
      </c>
      <c r="C102" s="9">
        <v>5</v>
      </c>
      <c r="D102" s="9" t="s">
        <v>407</v>
      </c>
      <c r="E102" s="9" t="s">
        <v>525</v>
      </c>
      <c r="F102" s="9">
        <v>205</v>
      </c>
      <c r="G102" s="9" t="s">
        <v>334</v>
      </c>
      <c r="H102" s="9" t="s">
        <v>482</v>
      </c>
      <c r="I102" s="8"/>
      <c r="J102" s="8"/>
      <c r="K102" s="8"/>
      <c r="L102" s="8"/>
    </row>
    <row r="103" spans="1:12" ht="73.5" customHeight="1" x14ac:dyDescent="0.25">
      <c r="A103" s="6" t="s">
        <v>527</v>
      </c>
      <c r="B103" s="9" t="s">
        <v>524</v>
      </c>
      <c r="C103" s="9">
        <v>6</v>
      </c>
      <c r="D103" s="9" t="s">
        <v>409</v>
      </c>
      <c r="E103" s="9" t="s">
        <v>525</v>
      </c>
      <c r="F103" s="9">
        <v>734</v>
      </c>
      <c r="G103" s="9" t="s">
        <v>334</v>
      </c>
      <c r="H103" s="9" t="s">
        <v>482</v>
      </c>
      <c r="I103" s="8"/>
      <c r="J103" s="8"/>
      <c r="K103" s="8"/>
      <c r="L103" s="8"/>
    </row>
    <row r="104" spans="1:12" ht="73.5" customHeight="1" x14ac:dyDescent="0.25">
      <c r="A104" s="6" t="s">
        <v>528</v>
      </c>
      <c r="B104" s="9" t="s">
        <v>524</v>
      </c>
      <c r="C104" s="9">
        <v>21</v>
      </c>
      <c r="D104" s="9" t="s">
        <v>411</v>
      </c>
      <c r="E104" s="9" t="s">
        <v>525</v>
      </c>
      <c r="F104" s="9">
        <v>338</v>
      </c>
      <c r="G104" s="9" t="s">
        <v>334</v>
      </c>
      <c r="H104" s="9" t="s">
        <v>482</v>
      </c>
      <c r="I104" s="8"/>
      <c r="J104" s="8"/>
      <c r="K104" s="8"/>
      <c r="L104" s="8"/>
    </row>
    <row r="105" spans="1:12" ht="73.5" customHeight="1" x14ac:dyDescent="0.25">
      <c r="A105" s="6" t="s">
        <v>529</v>
      </c>
      <c r="B105" s="9" t="s">
        <v>524</v>
      </c>
      <c r="C105" s="9">
        <v>10</v>
      </c>
      <c r="D105" s="9" t="s">
        <v>413</v>
      </c>
      <c r="E105" s="9" t="s">
        <v>525</v>
      </c>
      <c r="F105" s="9">
        <v>1823</v>
      </c>
      <c r="G105" s="9" t="s">
        <v>334</v>
      </c>
      <c r="H105" s="9" t="s">
        <v>482</v>
      </c>
      <c r="I105" s="8"/>
      <c r="J105" s="8"/>
      <c r="K105" s="8"/>
      <c r="L105" s="8"/>
    </row>
    <row r="106" spans="1:12" ht="73.5" customHeight="1" x14ac:dyDescent="0.25">
      <c r="A106" s="6" t="s">
        <v>530</v>
      </c>
      <c r="B106" s="9" t="s">
        <v>524</v>
      </c>
      <c r="C106" s="9">
        <v>26</v>
      </c>
      <c r="D106" s="9" t="s">
        <v>415</v>
      </c>
      <c r="E106" s="9" t="s">
        <v>525</v>
      </c>
      <c r="F106" s="9">
        <v>1231</v>
      </c>
      <c r="G106" s="9" t="s">
        <v>334</v>
      </c>
      <c r="H106" s="9" t="s">
        <v>482</v>
      </c>
      <c r="I106" s="8"/>
      <c r="J106" s="8"/>
      <c r="K106" s="8"/>
      <c r="L106" s="8"/>
    </row>
    <row r="107" spans="1:12" ht="73.5" customHeight="1" x14ac:dyDescent="0.25">
      <c r="A107" s="6" t="s">
        <v>531</v>
      </c>
      <c r="B107" s="9" t="s">
        <v>524</v>
      </c>
      <c r="C107" s="9">
        <v>11</v>
      </c>
      <c r="D107" s="9" t="s">
        <v>417</v>
      </c>
      <c r="E107" s="9" t="s">
        <v>525</v>
      </c>
      <c r="F107" s="9">
        <v>1127</v>
      </c>
      <c r="G107" s="9" t="s">
        <v>334</v>
      </c>
      <c r="H107" s="9" t="s">
        <v>482</v>
      </c>
      <c r="I107" s="8"/>
      <c r="J107" s="8"/>
      <c r="K107" s="8"/>
      <c r="L107" s="8"/>
    </row>
    <row r="108" spans="1:12" ht="73.5" customHeight="1" x14ac:dyDescent="0.25">
      <c r="A108" s="6" t="s">
        <v>532</v>
      </c>
      <c r="B108" s="9" t="s">
        <v>524</v>
      </c>
      <c r="C108" s="9">
        <v>18</v>
      </c>
      <c r="D108" s="9" t="s">
        <v>419</v>
      </c>
      <c r="E108" s="9" t="s">
        <v>525</v>
      </c>
      <c r="F108" s="9">
        <v>4872</v>
      </c>
      <c r="G108" s="9" t="s">
        <v>334</v>
      </c>
      <c r="H108" s="9" t="s">
        <v>482</v>
      </c>
      <c r="I108" s="8"/>
      <c r="J108" s="8"/>
      <c r="K108" s="8"/>
      <c r="L108" s="8"/>
    </row>
    <row r="109" spans="1:12" ht="73.5" customHeight="1" x14ac:dyDescent="0.25">
      <c r="A109" s="6" t="s">
        <v>533</v>
      </c>
      <c r="B109" s="9" t="s">
        <v>524</v>
      </c>
      <c r="C109" s="9">
        <v>41</v>
      </c>
      <c r="D109" s="9" t="s">
        <v>421</v>
      </c>
      <c r="E109" s="9" t="s">
        <v>525</v>
      </c>
      <c r="F109" s="9">
        <v>4872</v>
      </c>
      <c r="G109" s="9" t="s">
        <v>334</v>
      </c>
      <c r="H109" s="9" t="s">
        <v>482</v>
      </c>
      <c r="I109" s="8"/>
      <c r="J109" s="8"/>
      <c r="K109" s="8"/>
      <c r="L109" s="8"/>
    </row>
    <row r="110" spans="1:12" ht="73.5" customHeight="1" x14ac:dyDescent="0.25">
      <c r="A110" s="6" t="s">
        <v>534</v>
      </c>
      <c r="B110" s="9" t="s">
        <v>524</v>
      </c>
      <c r="C110" s="9">
        <v>38</v>
      </c>
      <c r="D110" s="9" t="s">
        <v>423</v>
      </c>
      <c r="E110" s="9" t="s">
        <v>525</v>
      </c>
      <c r="F110" s="9">
        <v>-1385</v>
      </c>
      <c r="G110" s="9" t="s">
        <v>334</v>
      </c>
      <c r="H110" s="9" t="s">
        <v>482</v>
      </c>
      <c r="I110" s="8"/>
      <c r="J110" s="8"/>
      <c r="K110" s="8"/>
      <c r="L110" s="8"/>
    </row>
    <row r="111" spans="1:12" ht="73.5" customHeight="1" x14ac:dyDescent="0.25">
      <c r="A111" s="6" t="s">
        <v>535</v>
      </c>
      <c r="B111" s="9" t="s">
        <v>524</v>
      </c>
      <c r="C111" s="9">
        <v>40</v>
      </c>
      <c r="D111" s="9" t="s">
        <v>425</v>
      </c>
      <c r="E111" s="9" t="s">
        <v>525</v>
      </c>
      <c r="F111" s="9">
        <v>-1383</v>
      </c>
      <c r="G111" s="9" t="s">
        <v>334</v>
      </c>
      <c r="H111" s="9" t="s">
        <v>482</v>
      </c>
      <c r="I111" s="8"/>
      <c r="J111" s="8"/>
      <c r="K111" s="8"/>
      <c r="L111" s="8"/>
    </row>
    <row r="112" spans="1:12" ht="73.5" customHeight="1" x14ac:dyDescent="0.25">
      <c r="A112" s="6" t="s">
        <v>536</v>
      </c>
      <c r="B112" s="9" t="s">
        <v>524</v>
      </c>
      <c r="C112" s="9">
        <v>39</v>
      </c>
      <c r="D112" s="9" t="s">
        <v>427</v>
      </c>
      <c r="E112" s="9" t="s">
        <v>525</v>
      </c>
      <c r="F112" s="9">
        <v>2</v>
      </c>
      <c r="G112" s="9" t="s">
        <v>334</v>
      </c>
      <c r="H112" s="9" t="s">
        <v>482</v>
      </c>
      <c r="I112" s="8"/>
      <c r="J112" s="8"/>
      <c r="K112" s="8"/>
      <c r="L112" s="8"/>
    </row>
    <row r="113" spans="1:12" ht="73.5" customHeight="1" x14ac:dyDescent="0.25">
      <c r="A113" s="6" t="s">
        <v>537</v>
      </c>
      <c r="B113" s="9" t="s">
        <v>524</v>
      </c>
      <c r="C113" s="9">
        <v>23</v>
      </c>
      <c r="D113" s="9" t="s">
        <v>538</v>
      </c>
      <c r="E113" s="9" t="s">
        <v>525</v>
      </c>
      <c r="F113" s="9">
        <v>0</v>
      </c>
      <c r="G113" s="9" t="s">
        <v>334</v>
      </c>
      <c r="H113" s="9" t="s">
        <v>482</v>
      </c>
      <c r="I113" s="8"/>
      <c r="J113" s="8"/>
      <c r="K113" s="8"/>
      <c r="L113" s="8"/>
    </row>
    <row r="114" spans="1:12" ht="73.5" customHeight="1" x14ac:dyDescent="0.25">
      <c r="A114" s="6" t="s">
        <v>539</v>
      </c>
      <c r="B114" s="9" t="s">
        <v>524</v>
      </c>
      <c r="C114" s="9">
        <v>28</v>
      </c>
      <c r="D114" s="9" t="s">
        <v>429</v>
      </c>
      <c r="E114" s="9" t="s">
        <v>525</v>
      </c>
      <c r="F114" s="9">
        <v>3884</v>
      </c>
      <c r="G114" s="9" t="s">
        <v>334</v>
      </c>
      <c r="H114" s="9" t="s">
        <v>482</v>
      </c>
      <c r="I114" s="8"/>
      <c r="J114" s="8"/>
      <c r="K114" s="8"/>
      <c r="L114" s="8"/>
    </row>
    <row r="115" spans="1:12" ht="73.5" customHeight="1" x14ac:dyDescent="0.25">
      <c r="A115" s="6" t="s">
        <v>540</v>
      </c>
      <c r="B115" s="9" t="s">
        <v>507</v>
      </c>
      <c r="C115" s="9">
        <v>5</v>
      </c>
      <c r="D115" s="9" t="s">
        <v>432</v>
      </c>
      <c r="E115" s="9" t="s">
        <v>514</v>
      </c>
      <c r="F115" s="9">
        <v>282</v>
      </c>
      <c r="G115" s="9" t="s">
        <v>334</v>
      </c>
      <c r="H115" s="9" t="s">
        <v>482</v>
      </c>
      <c r="I115" s="8"/>
      <c r="J115" s="8"/>
      <c r="K115" s="8"/>
      <c r="L115" s="8"/>
    </row>
    <row r="116" spans="1:12" ht="73.5" customHeight="1" x14ac:dyDescent="0.25">
      <c r="A116" s="6" t="s">
        <v>541</v>
      </c>
      <c r="B116" s="9" t="s">
        <v>507</v>
      </c>
      <c r="C116" s="9">
        <v>7</v>
      </c>
      <c r="D116" s="9" t="s">
        <v>434</v>
      </c>
      <c r="E116" s="9" t="s">
        <v>514</v>
      </c>
      <c r="F116" s="9">
        <v>40</v>
      </c>
      <c r="G116" s="9" t="s">
        <v>334</v>
      </c>
      <c r="H116" s="9" t="s">
        <v>482</v>
      </c>
      <c r="I116" s="8"/>
      <c r="J116" s="8"/>
      <c r="K116" s="8"/>
      <c r="L116" s="8"/>
    </row>
    <row r="117" spans="1:12" ht="73.5" customHeight="1" x14ac:dyDescent="0.25">
      <c r="A117" s="6" t="s">
        <v>542</v>
      </c>
      <c r="B117" s="9" t="s">
        <v>507</v>
      </c>
      <c r="C117" s="9">
        <v>23</v>
      </c>
      <c r="D117" s="9" t="s">
        <v>436</v>
      </c>
      <c r="E117" s="9" t="s">
        <v>514</v>
      </c>
      <c r="F117" s="9">
        <v>-226</v>
      </c>
      <c r="G117" s="9" t="s">
        <v>334</v>
      </c>
      <c r="H117" s="9" t="s">
        <v>482</v>
      </c>
      <c r="I117" s="8"/>
      <c r="J117" s="8"/>
      <c r="K117" s="8"/>
      <c r="L117" s="8"/>
    </row>
    <row r="118" spans="1:12" ht="73.5" customHeight="1" x14ac:dyDescent="0.25">
      <c r="A118" s="6" t="s">
        <v>543</v>
      </c>
      <c r="B118" s="9" t="s">
        <v>507</v>
      </c>
      <c r="C118" s="9">
        <v>21</v>
      </c>
      <c r="D118" s="9" t="s">
        <v>438</v>
      </c>
      <c r="E118" s="9" t="s">
        <v>514</v>
      </c>
      <c r="F118" s="9">
        <v>886</v>
      </c>
      <c r="G118" s="9" t="s">
        <v>334</v>
      </c>
      <c r="H118" s="9" t="s">
        <v>482</v>
      </c>
      <c r="I118" s="8"/>
      <c r="J118" s="8"/>
      <c r="K118" s="8"/>
      <c r="L118" s="8"/>
    </row>
    <row r="119" spans="1:12" ht="73.5" customHeight="1" x14ac:dyDescent="0.25">
      <c r="A119" s="6" t="s">
        <v>544</v>
      </c>
      <c r="B119" s="9" t="s">
        <v>507</v>
      </c>
      <c r="C119" s="9">
        <v>27</v>
      </c>
      <c r="D119" s="9" t="s">
        <v>440</v>
      </c>
      <c r="E119" s="9" t="s">
        <v>514</v>
      </c>
      <c r="F119" s="9">
        <v>-162</v>
      </c>
      <c r="G119" s="9" t="s">
        <v>334</v>
      </c>
      <c r="H119" s="9" t="s">
        <v>482</v>
      </c>
      <c r="I119" s="8"/>
      <c r="J119" s="8"/>
      <c r="K119" s="8"/>
      <c r="L119" s="8"/>
    </row>
    <row r="120" spans="1:12" ht="73.5" customHeight="1" x14ac:dyDescent="0.25">
      <c r="A120" s="6" t="s">
        <v>545</v>
      </c>
      <c r="B120" s="9" t="s">
        <v>507</v>
      </c>
      <c r="C120" s="9">
        <v>35</v>
      </c>
      <c r="D120" s="9" t="s">
        <v>442</v>
      </c>
      <c r="E120" s="9" t="s">
        <v>514</v>
      </c>
      <c r="F120" s="9">
        <v>-1132</v>
      </c>
      <c r="G120" s="9" t="s">
        <v>334</v>
      </c>
      <c r="H120" s="9" t="s">
        <v>482</v>
      </c>
      <c r="I120" s="8"/>
      <c r="J120" s="8"/>
      <c r="K120" s="8"/>
      <c r="L120" s="8"/>
    </row>
    <row r="121" spans="1:12" ht="73.5" customHeight="1" x14ac:dyDescent="0.25">
      <c r="A121" s="6" t="s">
        <v>546</v>
      </c>
      <c r="B121" s="9" t="s">
        <v>480</v>
      </c>
      <c r="C121" s="9">
        <v>8</v>
      </c>
      <c r="D121" s="9" t="s">
        <v>382</v>
      </c>
      <c r="E121" s="9" t="s">
        <v>547</v>
      </c>
      <c r="F121" s="9">
        <v>-2063</v>
      </c>
      <c r="G121" s="9" t="s">
        <v>334</v>
      </c>
      <c r="H121" s="9" t="s">
        <v>482</v>
      </c>
      <c r="I121" s="8"/>
      <c r="J121" s="8"/>
      <c r="K121" s="8"/>
      <c r="L121" s="8"/>
    </row>
    <row r="122" spans="1:12" ht="73.5" customHeight="1" x14ac:dyDescent="0.25">
      <c r="A122" s="6" t="s">
        <v>548</v>
      </c>
      <c r="B122" s="9" t="s">
        <v>480</v>
      </c>
      <c r="C122" s="9">
        <v>2</v>
      </c>
      <c r="D122" s="9" t="s">
        <v>384</v>
      </c>
      <c r="E122" s="9" t="s">
        <v>547</v>
      </c>
      <c r="F122" s="9">
        <v>7291</v>
      </c>
      <c r="G122" s="9" t="s">
        <v>334</v>
      </c>
      <c r="H122" s="9" t="s">
        <v>482</v>
      </c>
      <c r="I122" s="8"/>
      <c r="J122" s="8"/>
      <c r="K122" s="8"/>
      <c r="L122" s="8"/>
    </row>
    <row r="123" spans="1:12" ht="73.5" customHeight="1" x14ac:dyDescent="0.25">
      <c r="A123" s="6" t="s">
        <v>549</v>
      </c>
      <c r="B123" s="9" t="s">
        <v>480</v>
      </c>
      <c r="C123" s="9">
        <v>6</v>
      </c>
      <c r="D123" s="9" t="s">
        <v>386</v>
      </c>
      <c r="E123" s="9" t="s">
        <v>547</v>
      </c>
      <c r="F123" s="9">
        <v>-4102</v>
      </c>
      <c r="G123" s="9" t="s">
        <v>334</v>
      </c>
      <c r="H123" s="9" t="s">
        <v>482</v>
      </c>
      <c r="I123" s="8"/>
      <c r="J123" s="8"/>
      <c r="K123" s="8"/>
      <c r="L123" s="8"/>
    </row>
    <row r="124" spans="1:12" ht="73.5" customHeight="1" x14ac:dyDescent="0.25">
      <c r="A124" s="6" t="s">
        <v>550</v>
      </c>
      <c r="B124" s="9" t="s">
        <v>480</v>
      </c>
      <c r="C124" s="9">
        <v>7</v>
      </c>
      <c r="D124" s="9" t="s">
        <v>388</v>
      </c>
      <c r="E124" s="9" t="s">
        <v>547</v>
      </c>
      <c r="F124" s="9">
        <v>3189</v>
      </c>
      <c r="G124" s="9" t="s">
        <v>334</v>
      </c>
      <c r="H124" s="9" t="s">
        <v>482</v>
      </c>
      <c r="I124" s="8"/>
      <c r="J124" s="8"/>
      <c r="K124" s="8"/>
      <c r="L124" s="8"/>
    </row>
    <row r="125" spans="1:12" ht="73.5" customHeight="1" x14ac:dyDescent="0.25">
      <c r="A125" s="6" t="s">
        <v>551</v>
      </c>
      <c r="B125" s="9" t="s">
        <v>480</v>
      </c>
      <c r="C125" s="9">
        <v>9</v>
      </c>
      <c r="D125" s="9" t="s">
        <v>390</v>
      </c>
      <c r="E125" s="9" t="s">
        <v>547</v>
      </c>
      <c r="F125" s="9">
        <v>1126</v>
      </c>
      <c r="G125" s="9" t="s">
        <v>334</v>
      </c>
      <c r="H125" s="9" t="s">
        <v>482</v>
      </c>
      <c r="I125" s="8"/>
      <c r="J125" s="8"/>
      <c r="K125" s="8"/>
      <c r="L125" s="8"/>
    </row>
    <row r="126" spans="1:12" ht="73.5" customHeight="1" x14ac:dyDescent="0.25">
      <c r="A126" s="6" t="s">
        <v>552</v>
      </c>
      <c r="B126" s="9" t="s">
        <v>480</v>
      </c>
      <c r="C126" s="9">
        <v>12</v>
      </c>
      <c r="D126" s="9" t="s">
        <v>392</v>
      </c>
      <c r="E126" s="9" t="s">
        <v>547</v>
      </c>
      <c r="F126" s="9">
        <v>882</v>
      </c>
      <c r="G126" s="9" t="s">
        <v>334</v>
      </c>
      <c r="H126" s="9" t="s">
        <v>482</v>
      </c>
      <c r="I126" s="8"/>
      <c r="J126" s="8"/>
      <c r="K126" s="8"/>
      <c r="L126" s="8"/>
    </row>
    <row r="127" spans="1:12" ht="73.5" customHeight="1" x14ac:dyDescent="0.25">
      <c r="A127" s="6" t="s">
        <v>553</v>
      </c>
      <c r="B127" s="9" t="s">
        <v>480</v>
      </c>
      <c r="C127" s="9">
        <v>13</v>
      </c>
      <c r="D127" s="9" t="s">
        <v>394</v>
      </c>
      <c r="E127" s="9" t="s">
        <v>547</v>
      </c>
      <c r="F127" s="9">
        <v>-233</v>
      </c>
      <c r="G127" s="9" t="s">
        <v>334</v>
      </c>
      <c r="H127" s="9" t="s">
        <v>482</v>
      </c>
      <c r="I127" s="8"/>
      <c r="J127" s="8"/>
      <c r="K127" s="8"/>
      <c r="L127" s="8"/>
    </row>
    <row r="128" spans="1:12" ht="73.5" customHeight="1" x14ac:dyDescent="0.25">
      <c r="A128" s="6" t="s">
        <v>554</v>
      </c>
      <c r="B128" s="9" t="s">
        <v>480</v>
      </c>
      <c r="C128" s="9">
        <v>14</v>
      </c>
      <c r="D128" s="9" t="s">
        <v>396</v>
      </c>
      <c r="E128" s="9" t="s">
        <v>547</v>
      </c>
      <c r="F128" s="9">
        <v>649</v>
      </c>
      <c r="G128" s="9" t="s">
        <v>334</v>
      </c>
      <c r="H128" s="9" t="s">
        <v>482</v>
      </c>
      <c r="I128" s="8"/>
      <c r="J128" s="8"/>
      <c r="K128" s="8"/>
      <c r="L128" s="8"/>
    </row>
    <row r="129" spans="1:12" ht="73.5" customHeight="1" x14ac:dyDescent="0.25">
      <c r="A129" s="6" t="s">
        <v>555</v>
      </c>
      <c r="B129" s="9" t="s">
        <v>480</v>
      </c>
      <c r="C129" s="9">
        <v>10</v>
      </c>
      <c r="D129" s="9" t="s">
        <v>400</v>
      </c>
      <c r="E129" s="9" t="s">
        <v>547</v>
      </c>
      <c r="F129" s="9">
        <v>-276</v>
      </c>
      <c r="G129" s="9" t="s">
        <v>334</v>
      </c>
      <c r="H129" s="9" t="s">
        <v>482</v>
      </c>
      <c r="I129" s="8"/>
      <c r="J129" s="8"/>
      <c r="K129" s="8"/>
      <c r="L129" s="8"/>
    </row>
    <row r="130" spans="1:12" ht="73.5" customHeight="1" x14ac:dyDescent="0.25">
      <c r="A130" s="6" t="s">
        <v>556</v>
      </c>
      <c r="B130" s="9" t="s">
        <v>524</v>
      </c>
      <c r="C130" s="9">
        <v>4</v>
      </c>
      <c r="D130" s="9" t="s">
        <v>403</v>
      </c>
      <c r="E130" s="9" t="s">
        <v>557</v>
      </c>
      <c r="F130" s="9">
        <v>953</v>
      </c>
      <c r="G130" s="9" t="s">
        <v>334</v>
      </c>
      <c r="H130" s="9" t="s">
        <v>482</v>
      </c>
      <c r="I130" s="8"/>
      <c r="J130" s="8"/>
      <c r="K130" s="8"/>
      <c r="L130" s="8"/>
    </row>
    <row r="131" spans="1:12" ht="73.5" customHeight="1" x14ac:dyDescent="0.25">
      <c r="A131" s="6" t="s">
        <v>558</v>
      </c>
      <c r="B131" s="9" t="s">
        <v>524</v>
      </c>
      <c r="C131" s="9">
        <v>5</v>
      </c>
      <c r="D131" s="9" t="s">
        <v>407</v>
      </c>
      <c r="E131" s="9" t="s">
        <v>557</v>
      </c>
      <c r="F131" s="9">
        <v>180</v>
      </c>
      <c r="G131" s="9" t="s">
        <v>334</v>
      </c>
      <c r="H131" s="9" t="s">
        <v>482</v>
      </c>
      <c r="I131" s="8"/>
      <c r="J131" s="8"/>
      <c r="K131" s="8"/>
      <c r="L131" s="8"/>
    </row>
    <row r="132" spans="1:12" ht="73.5" customHeight="1" x14ac:dyDescent="0.25">
      <c r="A132" s="6" t="s">
        <v>559</v>
      </c>
      <c r="B132" s="9" t="s">
        <v>524</v>
      </c>
      <c r="C132" s="9">
        <v>6</v>
      </c>
      <c r="D132" s="9" t="s">
        <v>409</v>
      </c>
      <c r="E132" s="9" t="s">
        <v>557</v>
      </c>
      <c r="F132" s="9">
        <v>699</v>
      </c>
      <c r="G132" s="9" t="s">
        <v>334</v>
      </c>
      <c r="H132" s="9" t="s">
        <v>482</v>
      </c>
      <c r="I132" s="8"/>
      <c r="J132" s="8"/>
      <c r="K132" s="8"/>
      <c r="L132" s="8"/>
    </row>
    <row r="133" spans="1:12" ht="73.5" customHeight="1" x14ac:dyDescent="0.25">
      <c r="A133" s="6" t="s">
        <v>560</v>
      </c>
      <c r="B133" s="9" t="s">
        <v>524</v>
      </c>
      <c r="C133" s="9">
        <v>21</v>
      </c>
      <c r="D133" s="9" t="s">
        <v>411</v>
      </c>
      <c r="E133" s="9" t="s">
        <v>557</v>
      </c>
      <c r="F133" s="9">
        <v>465</v>
      </c>
      <c r="G133" s="9" t="s">
        <v>334</v>
      </c>
      <c r="H133" s="9" t="s">
        <v>482</v>
      </c>
      <c r="I133" s="8"/>
      <c r="J133" s="8"/>
      <c r="K133" s="8"/>
      <c r="L133" s="8"/>
    </row>
    <row r="134" spans="1:12" ht="73.5" customHeight="1" x14ac:dyDescent="0.25">
      <c r="A134" s="6" t="s">
        <v>561</v>
      </c>
      <c r="B134" s="9" t="s">
        <v>524</v>
      </c>
      <c r="C134" s="9">
        <v>10</v>
      </c>
      <c r="D134" s="9" t="s">
        <v>413</v>
      </c>
      <c r="E134" s="9" t="s">
        <v>557</v>
      </c>
      <c r="F134" s="9">
        <v>2019</v>
      </c>
      <c r="G134" s="9" t="s">
        <v>334</v>
      </c>
      <c r="H134" s="9" t="s">
        <v>482</v>
      </c>
      <c r="I134" s="8"/>
      <c r="J134" s="8"/>
      <c r="K134" s="8"/>
      <c r="L134" s="8"/>
    </row>
    <row r="135" spans="1:12" ht="73.5" customHeight="1" x14ac:dyDescent="0.25">
      <c r="A135" s="6" t="s">
        <v>562</v>
      </c>
      <c r="B135" s="9" t="s">
        <v>524</v>
      </c>
      <c r="C135" s="9">
        <v>26</v>
      </c>
      <c r="D135" s="9" t="s">
        <v>415</v>
      </c>
      <c r="E135" s="9" t="s">
        <v>557</v>
      </c>
      <c r="F135" s="9">
        <v>1591</v>
      </c>
      <c r="G135" s="9" t="s">
        <v>334</v>
      </c>
      <c r="H135" s="9" t="s">
        <v>482</v>
      </c>
      <c r="I135" s="8"/>
      <c r="J135" s="8"/>
      <c r="K135" s="8"/>
      <c r="L135" s="8"/>
    </row>
    <row r="136" spans="1:12" ht="73.5" customHeight="1" x14ac:dyDescent="0.25">
      <c r="A136" s="6" t="s">
        <v>563</v>
      </c>
      <c r="B136" s="9" t="s">
        <v>524</v>
      </c>
      <c r="C136" s="9">
        <v>11</v>
      </c>
      <c r="D136" s="9" t="s">
        <v>417</v>
      </c>
      <c r="E136" s="9" t="s">
        <v>557</v>
      </c>
      <c r="F136" s="9">
        <v>1127</v>
      </c>
      <c r="G136" s="9" t="s">
        <v>334</v>
      </c>
      <c r="H136" s="9" t="s">
        <v>482</v>
      </c>
      <c r="I136" s="8"/>
      <c r="J136" s="8"/>
      <c r="K136" s="8"/>
      <c r="L136" s="8"/>
    </row>
    <row r="137" spans="1:12" ht="73.5" customHeight="1" x14ac:dyDescent="0.25">
      <c r="A137" s="6" t="s">
        <v>564</v>
      </c>
      <c r="B137" s="9" t="s">
        <v>524</v>
      </c>
      <c r="C137" s="9">
        <v>18</v>
      </c>
      <c r="D137" s="9" t="s">
        <v>419</v>
      </c>
      <c r="E137" s="9" t="s">
        <v>557</v>
      </c>
      <c r="F137" s="9">
        <v>5069</v>
      </c>
      <c r="G137" s="9" t="s">
        <v>334</v>
      </c>
      <c r="H137" s="9" t="s">
        <v>482</v>
      </c>
      <c r="I137" s="8"/>
      <c r="J137" s="8"/>
      <c r="K137" s="8"/>
      <c r="L137" s="8"/>
    </row>
    <row r="138" spans="1:12" ht="73.5" customHeight="1" x14ac:dyDescent="0.25">
      <c r="A138" s="6" t="s">
        <v>565</v>
      </c>
      <c r="B138" s="9" t="s">
        <v>524</v>
      </c>
      <c r="C138" s="9">
        <v>41</v>
      </c>
      <c r="D138" s="9" t="s">
        <v>421</v>
      </c>
      <c r="E138" s="9" t="s">
        <v>557</v>
      </c>
      <c r="F138" s="9">
        <v>5069</v>
      </c>
      <c r="G138" s="9" t="s">
        <v>334</v>
      </c>
      <c r="H138" s="9" t="s">
        <v>482</v>
      </c>
      <c r="I138" s="8"/>
      <c r="J138" s="8"/>
      <c r="K138" s="8"/>
      <c r="L138" s="8"/>
    </row>
    <row r="139" spans="1:12" ht="73.5" customHeight="1" x14ac:dyDescent="0.25">
      <c r="A139" s="6" t="s">
        <v>566</v>
      </c>
      <c r="B139" s="9" t="s">
        <v>524</v>
      </c>
      <c r="C139" s="9">
        <v>38</v>
      </c>
      <c r="D139" s="9" t="s">
        <v>423</v>
      </c>
      <c r="E139" s="9" t="s">
        <v>557</v>
      </c>
      <c r="F139" s="9">
        <v>-1281</v>
      </c>
      <c r="G139" s="9" t="s">
        <v>334</v>
      </c>
      <c r="H139" s="9" t="s">
        <v>482</v>
      </c>
      <c r="I139" s="8"/>
      <c r="J139" s="8"/>
      <c r="K139" s="8"/>
      <c r="L139" s="8"/>
    </row>
    <row r="140" spans="1:12" ht="73.5" customHeight="1" x14ac:dyDescent="0.25">
      <c r="A140" s="6" t="s">
        <v>567</v>
      </c>
      <c r="B140" s="9" t="s">
        <v>524</v>
      </c>
      <c r="C140" s="9">
        <v>40</v>
      </c>
      <c r="D140" s="9" t="s">
        <v>425</v>
      </c>
      <c r="E140" s="9" t="s">
        <v>557</v>
      </c>
      <c r="F140" s="9">
        <v>-1279</v>
      </c>
      <c r="G140" s="9" t="s">
        <v>334</v>
      </c>
      <c r="H140" s="9" t="s">
        <v>482</v>
      </c>
      <c r="I140" s="8"/>
      <c r="J140" s="8"/>
      <c r="K140" s="8"/>
      <c r="L140" s="8"/>
    </row>
    <row r="141" spans="1:12" ht="73.5" customHeight="1" x14ac:dyDescent="0.25">
      <c r="A141" s="6" t="s">
        <v>568</v>
      </c>
      <c r="B141" s="9" t="s">
        <v>524</v>
      </c>
      <c r="C141" s="9">
        <v>39</v>
      </c>
      <c r="D141" s="9" t="s">
        <v>427</v>
      </c>
      <c r="E141" s="9" t="s">
        <v>557</v>
      </c>
      <c r="F141" s="9">
        <v>2</v>
      </c>
      <c r="G141" s="9" t="s">
        <v>334</v>
      </c>
      <c r="H141" s="9" t="s">
        <v>482</v>
      </c>
      <c r="I141" s="8"/>
      <c r="J141" s="8"/>
      <c r="K141" s="8"/>
      <c r="L141" s="8"/>
    </row>
    <row r="142" spans="1:12" ht="73.5" customHeight="1" x14ac:dyDescent="0.25">
      <c r="A142" s="6" t="s">
        <v>569</v>
      </c>
      <c r="B142" s="9" t="s">
        <v>524</v>
      </c>
      <c r="C142" s="9">
        <v>23</v>
      </c>
      <c r="D142" s="9" t="s">
        <v>538</v>
      </c>
      <c r="E142" s="9" t="s">
        <v>557</v>
      </c>
      <c r="F142" s="9">
        <v>280</v>
      </c>
      <c r="G142" s="9" t="s">
        <v>334</v>
      </c>
      <c r="H142" s="9" t="s">
        <v>482</v>
      </c>
      <c r="I142" s="8"/>
      <c r="J142" s="8"/>
      <c r="K142" s="8"/>
      <c r="L142" s="8"/>
    </row>
    <row r="143" spans="1:12" ht="73.5" customHeight="1" x14ac:dyDescent="0.25">
      <c r="A143" s="6" t="s">
        <v>570</v>
      </c>
      <c r="B143" s="9" t="s">
        <v>524</v>
      </c>
      <c r="C143" s="9">
        <v>28</v>
      </c>
      <c r="D143" s="9" t="s">
        <v>429</v>
      </c>
      <c r="E143" s="9" t="s">
        <v>557</v>
      </c>
      <c r="F143" s="9">
        <v>3612</v>
      </c>
      <c r="G143" s="9" t="s">
        <v>334</v>
      </c>
      <c r="H143" s="9" t="s">
        <v>482</v>
      </c>
      <c r="I143" s="8"/>
      <c r="J143" s="8"/>
      <c r="K143" s="8"/>
      <c r="L143" s="8"/>
    </row>
    <row r="144" spans="1:12" ht="73.5" customHeight="1" x14ac:dyDescent="0.25">
      <c r="A144" s="6" t="s">
        <v>571</v>
      </c>
      <c r="B144" s="9" t="s">
        <v>507</v>
      </c>
      <c r="C144" s="9">
        <v>5</v>
      </c>
      <c r="D144" s="9" t="s">
        <v>432</v>
      </c>
      <c r="E144" s="9" t="s">
        <v>547</v>
      </c>
      <c r="F144" s="9">
        <v>254</v>
      </c>
      <c r="G144" s="9" t="s">
        <v>334</v>
      </c>
      <c r="H144" s="9" t="s">
        <v>482</v>
      </c>
      <c r="I144" s="8"/>
      <c r="J144" s="8"/>
      <c r="K144" s="8"/>
      <c r="L144" s="8"/>
    </row>
    <row r="145" spans="1:12" ht="73.5" customHeight="1" x14ac:dyDescent="0.25">
      <c r="A145" s="6" t="s">
        <v>572</v>
      </c>
      <c r="B145" s="9" t="s">
        <v>507</v>
      </c>
      <c r="C145" s="9">
        <v>7</v>
      </c>
      <c r="D145" s="9" t="s">
        <v>434</v>
      </c>
      <c r="E145" s="9" t="s">
        <v>547</v>
      </c>
      <c r="F145" s="9">
        <v>31</v>
      </c>
      <c r="G145" s="9" t="s">
        <v>334</v>
      </c>
      <c r="H145" s="9" t="s">
        <v>482</v>
      </c>
      <c r="I145" s="8"/>
      <c r="J145" s="8"/>
      <c r="K145" s="8"/>
      <c r="L145" s="8"/>
    </row>
    <row r="146" spans="1:12" ht="73.5" customHeight="1" x14ac:dyDescent="0.25">
      <c r="A146" s="6" t="s">
        <v>573</v>
      </c>
      <c r="B146" s="9" t="s">
        <v>507</v>
      </c>
      <c r="C146" s="9">
        <v>23</v>
      </c>
      <c r="D146" s="9" t="s">
        <v>436</v>
      </c>
      <c r="E146" s="9" t="s">
        <v>547</v>
      </c>
      <c r="F146" s="9">
        <v>-237</v>
      </c>
      <c r="G146" s="9" t="s">
        <v>334</v>
      </c>
      <c r="H146" s="9" t="s">
        <v>482</v>
      </c>
      <c r="I146" s="8"/>
      <c r="J146" s="8"/>
      <c r="K146" s="8"/>
      <c r="L146" s="8"/>
    </row>
    <row r="147" spans="1:12" ht="73.5" customHeight="1" x14ac:dyDescent="0.25">
      <c r="A147" s="6" t="s">
        <v>574</v>
      </c>
      <c r="B147" s="9" t="s">
        <v>507</v>
      </c>
      <c r="C147" s="9">
        <v>21</v>
      </c>
      <c r="D147" s="9" t="s">
        <v>438</v>
      </c>
      <c r="E147" s="9" t="s">
        <v>547</v>
      </c>
      <c r="F147" s="9">
        <v>1102</v>
      </c>
      <c r="G147" s="9" t="s">
        <v>334</v>
      </c>
      <c r="H147" s="9" t="s">
        <v>482</v>
      </c>
      <c r="I147" s="8"/>
      <c r="J147" s="8"/>
      <c r="K147" s="8"/>
      <c r="L147" s="8"/>
    </row>
    <row r="148" spans="1:12" ht="73.5" customHeight="1" x14ac:dyDescent="0.25">
      <c r="A148" s="6" t="s">
        <v>575</v>
      </c>
      <c r="B148" s="9" t="s">
        <v>507</v>
      </c>
      <c r="C148" s="9">
        <v>27</v>
      </c>
      <c r="D148" s="9" t="s">
        <v>440</v>
      </c>
      <c r="E148" s="9" t="s">
        <v>547</v>
      </c>
      <c r="F148" s="9">
        <v>-227</v>
      </c>
      <c r="G148" s="9" t="s">
        <v>334</v>
      </c>
      <c r="H148" s="9" t="s">
        <v>482</v>
      </c>
      <c r="I148" s="8"/>
      <c r="J148" s="8"/>
      <c r="K148" s="8"/>
      <c r="L148" s="8"/>
    </row>
    <row r="149" spans="1:12" ht="73.5" customHeight="1" x14ac:dyDescent="0.25">
      <c r="A149" s="6" t="s">
        <v>576</v>
      </c>
      <c r="B149" s="9" t="s">
        <v>507</v>
      </c>
      <c r="C149" s="9">
        <v>35</v>
      </c>
      <c r="D149" s="9" t="s">
        <v>442</v>
      </c>
      <c r="E149" s="9" t="s">
        <v>547</v>
      </c>
      <c r="F149" s="9">
        <v>-599</v>
      </c>
      <c r="G149" s="9" t="s">
        <v>334</v>
      </c>
      <c r="H149" s="9" t="s">
        <v>482</v>
      </c>
      <c r="I149" s="8"/>
      <c r="J149" s="8"/>
      <c r="K149" s="8"/>
      <c r="L149" s="8"/>
    </row>
    <row r="150" spans="1:12" ht="21" customHeight="1" x14ac:dyDescent="0.25">
      <c r="A150" s="6" t="s">
        <v>577</v>
      </c>
      <c r="B150" s="9" t="s">
        <v>578</v>
      </c>
      <c r="C150" s="9">
        <v>4</v>
      </c>
      <c r="D150" s="9" t="s">
        <v>579</v>
      </c>
      <c r="E150" s="9" t="s">
        <v>580</v>
      </c>
      <c r="F150" s="9">
        <v>794</v>
      </c>
      <c r="G150" s="9" t="s">
        <v>334</v>
      </c>
      <c r="H150" s="9"/>
      <c r="I150" s="8"/>
      <c r="J150" s="8"/>
      <c r="K150" s="8"/>
      <c r="L150" s="8"/>
    </row>
    <row r="151" spans="1:12" ht="21" customHeight="1" x14ac:dyDescent="0.25">
      <c r="A151" s="6" t="s">
        <v>581</v>
      </c>
      <c r="B151" s="9" t="s">
        <v>578</v>
      </c>
      <c r="C151" s="9">
        <v>18</v>
      </c>
      <c r="D151" s="9" t="s">
        <v>582</v>
      </c>
      <c r="E151" s="9" t="s">
        <v>580</v>
      </c>
      <c r="F151" s="9">
        <v>5156</v>
      </c>
      <c r="G151" s="9" t="s">
        <v>334</v>
      </c>
      <c r="H151" s="9"/>
      <c r="I151" s="8"/>
      <c r="J151" s="8"/>
      <c r="K151" s="8"/>
      <c r="L151" s="8"/>
    </row>
    <row r="152" spans="1:12" ht="21" customHeight="1" x14ac:dyDescent="0.25">
      <c r="A152" s="6" t="s">
        <v>583</v>
      </c>
      <c r="B152" s="9" t="s">
        <v>578</v>
      </c>
      <c r="C152" s="9">
        <v>10</v>
      </c>
      <c r="D152" s="9" t="s">
        <v>584</v>
      </c>
      <c r="E152" s="9" t="s">
        <v>580</v>
      </c>
      <c r="F152" s="9">
        <v>2050</v>
      </c>
      <c r="G152" s="9" t="s">
        <v>334</v>
      </c>
      <c r="H152" s="9"/>
      <c r="I152" s="8"/>
      <c r="J152" s="8"/>
      <c r="K152" s="8"/>
      <c r="L152" s="8"/>
    </row>
    <row r="153" spans="1:12" ht="21" customHeight="1" x14ac:dyDescent="0.25">
      <c r="A153" s="6" t="s">
        <v>585</v>
      </c>
      <c r="B153" s="9" t="s">
        <v>578</v>
      </c>
      <c r="C153" s="9">
        <v>26</v>
      </c>
      <c r="D153" s="9" t="s">
        <v>586</v>
      </c>
      <c r="E153" s="9" t="s">
        <v>580</v>
      </c>
      <c r="F153" s="9">
        <v>1707</v>
      </c>
      <c r="G153" s="9" t="s">
        <v>334</v>
      </c>
      <c r="H153" s="9"/>
      <c r="I153" s="8"/>
      <c r="J153" s="8"/>
      <c r="K153" s="8"/>
      <c r="L153" s="8"/>
    </row>
    <row r="154" spans="1:12" ht="21" customHeight="1" x14ac:dyDescent="0.25">
      <c r="A154" s="6" t="s">
        <v>587</v>
      </c>
      <c r="B154" s="9" t="s">
        <v>578</v>
      </c>
      <c r="C154" s="9">
        <v>26</v>
      </c>
      <c r="D154" s="9" t="s">
        <v>586</v>
      </c>
      <c r="E154" s="9" t="s">
        <v>580</v>
      </c>
      <c r="F154" s="9">
        <v>1707</v>
      </c>
      <c r="G154" s="9" t="s">
        <v>334</v>
      </c>
      <c r="H154" s="9"/>
      <c r="I154" s="8"/>
      <c r="J154" s="8"/>
      <c r="K154" s="8"/>
      <c r="L154" s="8"/>
    </row>
    <row r="155" spans="1:12" ht="21" customHeight="1" x14ac:dyDescent="0.25">
      <c r="A155" s="6" t="s">
        <v>588</v>
      </c>
      <c r="B155" s="9" t="s">
        <v>578</v>
      </c>
      <c r="C155" s="9">
        <v>27</v>
      </c>
      <c r="D155" s="9" t="s">
        <v>589</v>
      </c>
      <c r="E155" s="9" t="s">
        <v>580</v>
      </c>
      <c r="F155" s="9">
        <v>115</v>
      </c>
      <c r="G155" s="9" t="s">
        <v>334</v>
      </c>
      <c r="H155" s="9"/>
      <c r="I155" s="8"/>
      <c r="J155" s="8"/>
      <c r="K155" s="8"/>
      <c r="L155" s="8"/>
    </row>
    <row r="156" spans="1:12" ht="21" customHeight="1" x14ac:dyDescent="0.25">
      <c r="A156" s="6" t="s">
        <v>590</v>
      </c>
      <c r="B156" s="9" t="s">
        <v>578</v>
      </c>
      <c r="C156" s="9">
        <v>28</v>
      </c>
      <c r="D156" s="9" t="s">
        <v>591</v>
      </c>
      <c r="E156" s="9" t="s">
        <v>580</v>
      </c>
      <c r="F156" s="9">
        <v>3366</v>
      </c>
      <c r="G156" s="9" t="s">
        <v>334</v>
      </c>
      <c r="H156" s="9"/>
      <c r="I156" s="8"/>
      <c r="J156" s="8"/>
      <c r="K156" s="8"/>
      <c r="L156" s="8"/>
    </row>
    <row r="157" spans="1:12" ht="21" customHeight="1" x14ac:dyDescent="0.25">
      <c r="A157" s="6" t="s">
        <v>592</v>
      </c>
      <c r="B157" s="9" t="s">
        <v>578</v>
      </c>
      <c r="C157" s="9">
        <v>29</v>
      </c>
      <c r="D157" s="9" t="s">
        <v>593</v>
      </c>
      <c r="E157" s="9" t="s">
        <v>580</v>
      </c>
      <c r="F157" s="9">
        <v>931</v>
      </c>
      <c r="G157" s="9" t="s">
        <v>334</v>
      </c>
      <c r="H157" s="9"/>
      <c r="I157" s="8"/>
      <c r="J157" s="8"/>
      <c r="K157" s="8"/>
      <c r="L157" s="8"/>
    </row>
    <row r="158" spans="1:12" ht="21" customHeight="1" x14ac:dyDescent="0.25">
      <c r="A158" s="6" t="s">
        <v>594</v>
      </c>
      <c r="B158" s="9" t="s">
        <v>578</v>
      </c>
      <c r="C158" s="9">
        <v>30</v>
      </c>
      <c r="D158" s="9" t="s">
        <v>595</v>
      </c>
      <c r="E158" s="9" t="s">
        <v>580</v>
      </c>
      <c r="F158" s="9">
        <v>91</v>
      </c>
      <c r="G158" s="9" t="s">
        <v>334</v>
      </c>
      <c r="H158" s="9"/>
      <c r="I158" s="8"/>
      <c r="J158" s="8"/>
      <c r="K158" s="8"/>
      <c r="L158" s="8"/>
    </row>
    <row r="159" spans="1:12" ht="21" customHeight="1" x14ac:dyDescent="0.25">
      <c r="A159" s="6" t="s">
        <v>596</v>
      </c>
      <c r="B159" s="9" t="s">
        <v>578</v>
      </c>
      <c r="C159" s="9">
        <v>38</v>
      </c>
      <c r="D159" s="9" t="s">
        <v>597</v>
      </c>
      <c r="E159" s="9" t="s">
        <v>580</v>
      </c>
      <c r="F159" s="9">
        <v>-1056</v>
      </c>
      <c r="G159" s="9" t="s">
        <v>334</v>
      </c>
      <c r="H159" s="9"/>
      <c r="I159" s="8"/>
      <c r="J159" s="8"/>
      <c r="K159" s="8"/>
      <c r="L159" s="8"/>
    </row>
    <row r="160" spans="1:12" ht="21" customHeight="1" x14ac:dyDescent="0.25">
      <c r="A160" s="6" t="s">
        <v>598</v>
      </c>
      <c r="B160" s="9" t="s">
        <v>578</v>
      </c>
      <c r="C160" s="9">
        <v>39</v>
      </c>
      <c r="D160" s="9" t="s">
        <v>599</v>
      </c>
      <c r="E160" s="9" t="s">
        <v>580</v>
      </c>
      <c r="F160" s="9">
        <v>2</v>
      </c>
      <c r="G160" s="9" t="s">
        <v>334</v>
      </c>
      <c r="H160" s="9"/>
      <c r="I160" s="8"/>
      <c r="J160" s="8"/>
      <c r="K160" s="8"/>
      <c r="L160" s="8"/>
    </row>
    <row r="161" spans="1:12" ht="21" customHeight="1" x14ac:dyDescent="0.25">
      <c r="A161" s="6" t="s">
        <v>600</v>
      </c>
      <c r="B161" s="9" t="s">
        <v>578</v>
      </c>
      <c r="C161" s="9">
        <v>40</v>
      </c>
      <c r="D161" s="9" t="s">
        <v>601</v>
      </c>
      <c r="E161" s="9" t="s">
        <v>580</v>
      </c>
      <c r="F161" s="9">
        <v>-1054</v>
      </c>
      <c r="G161" s="9" t="s">
        <v>334</v>
      </c>
      <c r="H161" s="9"/>
      <c r="I161" s="8"/>
      <c r="J161" s="8"/>
      <c r="K161" s="8"/>
      <c r="L161" s="8"/>
    </row>
    <row r="162" spans="1:12" ht="21" customHeight="1" x14ac:dyDescent="0.25">
      <c r="A162" s="6" t="s">
        <v>602</v>
      </c>
      <c r="B162" s="9" t="s">
        <v>578</v>
      </c>
      <c r="C162" s="9">
        <v>23</v>
      </c>
      <c r="D162" s="9" t="s">
        <v>603</v>
      </c>
      <c r="E162" s="9" t="s">
        <v>580</v>
      </c>
      <c r="F162" s="9">
        <v>248</v>
      </c>
      <c r="G162" s="9" t="s">
        <v>334</v>
      </c>
      <c r="H162" s="9"/>
      <c r="I162" s="8"/>
      <c r="J162" s="8"/>
      <c r="K162" s="8"/>
      <c r="L162" s="8"/>
    </row>
    <row r="163" spans="1:12" ht="21" customHeight="1" x14ac:dyDescent="0.25">
      <c r="A163" s="6" t="s">
        <v>604</v>
      </c>
      <c r="B163" s="9" t="s">
        <v>578</v>
      </c>
      <c r="C163" s="9">
        <v>28</v>
      </c>
      <c r="D163" s="9" t="s">
        <v>591</v>
      </c>
      <c r="E163" s="9" t="s">
        <v>580</v>
      </c>
      <c r="F163" s="9">
        <v>3366</v>
      </c>
      <c r="G163" s="9" t="s">
        <v>334</v>
      </c>
      <c r="H163" s="9"/>
      <c r="I163" s="8"/>
      <c r="J163" s="8"/>
      <c r="K163" s="8"/>
      <c r="L163" s="8"/>
    </row>
    <row r="164" spans="1:12" ht="21" customHeight="1" x14ac:dyDescent="0.25">
      <c r="A164" s="6" t="s">
        <v>605</v>
      </c>
      <c r="B164" s="9" t="s">
        <v>578</v>
      </c>
      <c r="C164" s="9">
        <v>11</v>
      </c>
      <c r="D164" s="9" t="s">
        <v>606</v>
      </c>
      <c r="E164" s="9" t="s">
        <v>580</v>
      </c>
      <c r="F164" s="9">
        <v>1106</v>
      </c>
      <c r="G164" s="9" t="s">
        <v>334</v>
      </c>
      <c r="H164" s="9"/>
      <c r="I164" s="8"/>
      <c r="J164" s="8"/>
      <c r="K164" s="8"/>
      <c r="L164" s="8"/>
    </row>
    <row r="165" spans="1:12" ht="21" customHeight="1" x14ac:dyDescent="0.25">
      <c r="A165" s="6" t="s">
        <v>607</v>
      </c>
      <c r="B165" s="9" t="s">
        <v>480</v>
      </c>
      <c r="C165" s="9">
        <v>2</v>
      </c>
      <c r="D165" s="9" t="s">
        <v>608</v>
      </c>
      <c r="E165" s="9" t="s">
        <v>547</v>
      </c>
      <c r="F165" s="9">
        <v>7291</v>
      </c>
      <c r="G165" s="9" t="s">
        <v>334</v>
      </c>
      <c r="H165" s="9"/>
      <c r="I165" s="8"/>
      <c r="J165" s="8"/>
      <c r="K165" s="8"/>
      <c r="L165" s="8"/>
    </row>
    <row r="166" spans="1:12" ht="21" customHeight="1" x14ac:dyDescent="0.25">
      <c r="A166" s="6" t="s">
        <v>609</v>
      </c>
      <c r="B166" s="9" t="s">
        <v>610</v>
      </c>
      <c r="C166" s="9">
        <v>2</v>
      </c>
      <c r="D166" s="9" t="s">
        <v>608</v>
      </c>
      <c r="E166" s="9" t="s">
        <v>611</v>
      </c>
      <c r="F166" s="9">
        <v>2892</v>
      </c>
      <c r="G166" s="9" t="s">
        <v>334</v>
      </c>
      <c r="H166" s="9"/>
      <c r="I166" s="8"/>
      <c r="J166" s="8"/>
      <c r="K166" s="8"/>
      <c r="L166" s="8"/>
    </row>
    <row r="167" spans="1:12" ht="21" customHeight="1" x14ac:dyDescent="0.25">
      <c r="A167" s="6" t="s">
        <v>612</v>
      </c>
      <c r="B167" s="9" t="s">
        <v>610</v>
      </c>
      <c r="C167" s="9">
        <v>2</v>
      </c>
      <c r="D167" s="9" t="s">
        <v>608</v>
      </c>
      <c r="E167" s="9" t="s">
        <v>613</v>
      </c>
      <c r="F167" s="9">
        <v>2974</v>
      </c>
      <c r="G167" s="9" t="s">
        <v>334</v>
      </c>
      <c r="H167" s="9"/>
      <c r="I167" s="8"/>
      <c r="J167" s="8"/>
      <c r="K167" s="8"/>
      <c r="L167" s="8"/>
    </row>
    <row r="168" spans="1:12" ht="21" customHeight="1" x14ac:dyDescent="0.25">
      <c r="A168" s="6" t="s">
        <v>614</v>
      </c>
      <c r="B168" s="9" t="s">
        <v>480</v>
      </c>
      <c r="C168" s="9">
        <v>9</v>
      </c>
      <c r="D168" s="9" t="s">
        <v>615</v>
      </c>
      <c r="E168" s="9" t="s">
        <v>547</v>
      </c>
      <c r="F168" s="9">
        <v>1126</v>
      </c>
      <c r="G168" s="9" t="s">
        <v>334</v>
      </c>
      <c r="H168" s="9"/>
      <c r="I168" s="8"/>
      <c r="J168" s="8"/>
      <c r="K168" s="8"/>
      <c r="L168" s="8"/>
    </row>
    <row r="169" spans="1:12" ht="21" customHeight="1" x14ac:dyDescent="0.25">
      <c r="A169" s="6" t="s">
        <v>616</v>
      </c>
      <c r="B169" s="9" t="s">
        <v>610</v>
      </c>
      <c r="C169" s="9">
        <v>9</v>
      </c>
      <c r="D169" s="9" t="s">
        <v>615</v>
      </c>
      <c r="E169" s="9" t="s">
        <v>611</v>
      </c>
      <c r="F169" s="9">
        <v>447</v>
      </c>
      <c r="G169" s="9" t="s">
        <v>334</v>
      </c>
      <c r="H169" s="9"/>
      <c r="I169" s="8"/>
      <c r="J169" s="8"/>
      <c r="K169" s="8"/>
      <c r="L169" s="8"/>
    </row>
    <row r="170" spans="1:12" ht="21" customHeight="1" x14ac:dyDescent="0.25">
      <c r="A170" s="6" t="s">
        <v>617</v>
      </c>
      <c r="B170" s="9" t="s">
        <v>610</v>
      </c>
      <c r="C170" s="9">
        <v>9</v>
      </c>
      <c r="D170" s="9" t="s">
        <v>615</v>
      </c>
      <c r="E170" s="9" t="s">
        <v>613</v>
      </c>
      <c r="F170" s="9">
        <v>367</v>
      </c>
      <c r="G170" s="9" t="s">
        <v>334</v>
      </c>
      <c r="H170" s="9"/>
      <c r="I170" s="8"/>
      <c r="J170" s="8"/>
      <c r="K170" s="8"/>
      <c r="L170" s="8"/>
    </row>
    <row r="171" spans="1:12" ht="21" customHeight="1" x14ac:dyDescent="0.25">
      <c r="A171" s="6" t="s">
        <v>618</v>
      </c>
      <c r="B171" s="9" t="s">
        <v>480</v>
      </c>
      <c r="C171" s="9">
        <v>14</v>
      </c>
      <c r="D171" s="9" t="s">
        <v>619</v>
      </c>
      <c r="E171" s="9" t="s">
        <v>547</v>
      </c>
      <c r="F171" s="9">
        <v>649</v>
      </c>
      <c r="G171" s="9" t="s">
        <v>334</v>
      </c>
      <c r="H171" s="9"/>
      <c r="I171" s="8"/>
      <c r="J171" s="8"/>
      <c r="K171" s="8"/>
      <c r="L171" s="8"/>
    </row>
    <row r="172" spans="1:12" ht="21" customHeight="1" x14ac:dyDescent="0.25">
      <c r="A172" s="6" t="s">
        <v>620</v>
      </c>
      <c r="B172" s="9" t="s">
        <v>610</v>
      </c>
      <c r="C172" s="9">
        <v>14</v>
      </c>
      <c r="D172" s="9" t="s">
        <v>619</v>
      </c>
      <c r="E172" s="9" t="s">
        <v>611</v>
      </c>
      <c r="F172" s="9">
        <v>301</v>
      </c>
      <c r="G172" s="9" t="s">
        <v>334</v>
      </c>
      <c r="H172" s="9"/>
      <c r="I172" s="8"/>
      <c r="J172" s="8"/>
      <c r="K172" s="8"/>
      <c r="L172" s="8"/>
    </row>
    <row r="173" spans="1:12" ht="21" customHeight="1" x14ac:dyDescent="0.25">
      <c r="A173" s="6" t="s">
        <v>621</v>
      </c>
      <c r="B173" s="9" t="s">
        <v>610</v>
      </c>
      <c r="C173" s="9">
        <v>14</v>
      </c>
      <c r="D173" s="9" t="s">
        <v>619</v>
      </c>
      <c r="E173" s="9" t="s">
        <v>613</v>
      </c>
      <c r="F173" s="9">
        <v>169</v>
      </c>
      <c r="G173" s="9" t="s">
        <v>334</v>
      </c>
      <c r="H173" s="9"/>
      <c r="I173" s="8"/>
      <c r="J173" s="8"/>
      <c r="K173" s="8"/>
      <c r="L173" s="8"/>
    </row>
    <row r="174" spans="1:12" ht="21" customHeight="1" x14ac:dyDescent="0.25">
      <c r="A174" s="6" t="s">
        <v>622</v>
      </c>
      <c r="B174" s="9" t="s">
        <v>480</v>
      </c>
      <c r="C174" s="9">
        <v>13</v>
      </c>
      <c r="D174" s="9" t="s">
        <v>623</v>
      </c>
      <c r="E174" s="9" t="s">
        <v>547</v>
      </c>
      <c r="F174" s="9">
        <v>-233</v>
      </c>
      <c r="G174" s="9" t="s">
        <v>334</v>
      </c>
      <c r="H174" s="9"/>
      <c r="I174" s="8"/>
      <c r="J174" s="8"/>
      <c r="K174" s="8"/>
      <c r="L174" s="8"/>
    </row>
    <row r="175" spans="1:12" ht="21" customHeight="1" x14ac:dyDescent="0.25">
      <c r="A175" s="6" t="s">
        <v>624</v>
      </c>
      <c r="B175" s="9" t="s">
        <v>610</v>
      </c>
      <c r="C175" s="9">
        <v>13</v>
      </c>
      <c r="D175" s="9" t="s">
        <v>623</v>
      </c>
      <c r="E175" s="9" t="s">
        <v>611</v>
      </c>
      <c r="F175" s="9">
        <v>-29</v>
      </c>
      <c r="G175" s="9" t="s">
        <v>334</v>
      </c>
      <c r="H175" s="9"/>
      <c r="I175" s="8"/>
      <c r="J175" s="8"/>
      <c r="K175" s="8"/>
      <c r="L175" s="8"/>
    </row>
    <row r="176" spans="1:12" ht="21" customHeight="1" x14ac:dyDescent="0.25">
      <c r="A176" s="6" t="s">
        <v>625</v>
      </c>
      <c r="B176" s="9" t="s">
        <v>610</v>
      </c>
      <c r="C176" s="9">
        <v>13</v>
      </c>
      <c r="D176" s="9" t="s">
        <v>623</v>
      </c>
      <c r="E176" s="9" t="s">
        <v>613</v>
      </c>
      <c r="F176" s="9">
        <v>-72</v>
      </c>
      <c r="G176" s="9" t="s">
        <v>334</v>
      </c>
      <c r="H176" s="9"/>
      <c r="I176" s="8"/>
      <c r="J176" s="8"/>
      <c r="K176" s="8"/>
      <c r="L176" s="8"/>
    </row>
    <row r="177" spans="1:12" ht="21" customHeight="1" x14ac:dyDescent="0.25">
      <c r="A177" s="6" t="s">
        <v>626</v>
      </c>
      <c r="B177" s="9" t="s">
        <v>507</v>
      </c>
      <c r="C177" s="9">
        <v>5</v>
      </c>
      <c r="D177" s="9" t="s">
        <v>627</v>
      </c>
      <c r="E177" s="9" t="s">
        <v>547</v>
      </c>
      <c r="F177" s="9">
        <v>254</v>
      </c>
      <c r="G177" s="9" t="s">
        <v>334</v>
      </c>
      <c r="H177" s="9"/>
      <c r="I177" s="8"/>
      <c r="J177" s="8"/>
      <c r="K177" s="8"/>
      <c r="L177" s="8"/>
    </row>
    <row r="178" spans="1:12" ht="21" customHeight="1" x14ac:dyDescent="0.25">
      <c r="A178" s="6" t="s">
        <v>628</v>
      </c>
      <c r="B178" s="9" t="s">
        <v>629</v>
      </c>
      <c r="C178" s="9">
        <v>5</v>
      </c>
      <c r="D178" s="9" t="s">
        <v>627</v>
      </c>
      <c r="E178" s="9" t="s">
        <v>611</v>
      </c>
      <c r="F178" s="9">
        <v>120</v>
      </c>
      <c r="G178" s="9" t="s">
        <v>334</v>
      </c>
      <c r="H178" s="9"/>
      <c r="I178" s="8"/>
      <c r="J178" s="8"/>
      <c r="K178" s="8"/>
      <c r="L178" s="8"/>
    </row>
    <row r="179" spans="1:12" ht="21" customHeight="1" x14ac:dyDescent="0.25">
      <c r="A179" s="6" t="s">
        <v>630</v>
      </c>
      <c r="B179" s="9" t="s">
        <v>629</v>
      </c>
      <c r="C179" s="9">
        <v>5</v>
      </c>
      <c r="D179" s="9" t="s">
        <v>627</v>
      </c>
      <c r="E179" s="9" t="s">
        <v>613</v>
      </c>
      <c r="F179" s="9">
        <v>128</v>
      </c>
      <c r="G179" s="9" t="s">
        <v>334</v>
      </c>
      <c r="H179" s="9"/>
      <c r="I179" s="8"/>
      <c r="J179" s="8"/>
      <c r="K179" s="8"/>
      <c r="L179" s="8"/>
    </row>
    <row r="180" spans="1:12" ht="21" customHeight="1" x14ac:dyDescent="0.25">
      <c r="A180" s="6" t="s">
        <v>631</v>
      </c>
      <c r="B180" s="9" t="s">
        <v>507</v>
      </c>
      <c r="C180" s="9">
        <v>7</v>
      </c>
      <c r="D180" s="9" t="s">
        <v>632</v>
      </c>
      <c r="E180" s="9" t="s">
        <v>547</v>
      </c>
      <c r="F180" s="9">
        <v>31</v>
      </c>
      <c r="G180" s="9" t="s">
        <v>334</v>
      </c>
      <c r="H180" s="9"/>
      <c r="I180" s="8"/>
      <c r="J180" s="8"/>
      <c r="K180" s="8"/>
      <c r="L180" s="8"/>
    </row>
    <row r="181" spans="1:12" ht="21" customHeight="1" x14ac:dyDescent="0.25">
      <c r="A181" s="6" t="s">
        <v>633</v>
      </c>
      <c r="B181" s="9" t="s">
        <v>629</v>
      </c>
      <c r="C181" s="9">
        <v>6</v>
      </c>
      <c r="D181" s="9" t="s">
        <v>632</v>
      </c>
      <c r="E181" s="9" t="s">
        <v>611</v>
      </c>
      <c r="F181" s="9">
        <v>10</v>
      </c>
      <c r="G181" s="9" t="s">
        <v>334</v>
      </c>
      <c r="H181" s="9"/>
      <c r="I181" s="8"/>
      <c r="J181" s="8"/>
      <c r="K181" s="8"/>
      <c r="L181" s="8"/>
    </row>
    <row r="182" spans="1:12" ht="21" customHeight="1" x14ac:dyDescent="0.25">
      <c r="A182" s="6" t="s">
        <v>634</v>
      </c>
      <c r="B182" s="9" t="s">
        <v>629</v>
      </c>
      <c r="C182" s="9">
        <v>6</v>
      </c>
      <c r="D182" s="9" t="s">
        <v>632</v>
      </c>
      <c r="E182" s="9" t="s">
        <v>613</v>
      </c>
      <c r="F182" s="9">
        <v>18</v>
      </c>
      <c r="G182" s="9" t="s">
        <v>334</v>
      </c>
      <c r="H182" s="9"/>
      <c r="I182" s="8"/>
      <c r="J182" s="8"/>
      <c r="K182" s="8"/>
      <c r="L182" s="8"/>
    </row>
    <row r="183" spans="1:12" ht="21" customHeight="1" x14ac:dyDescent="0.25">
      <c r="A183" s="6" t="s">
        <v>635</v>
      </c>
      <c r="B183" s="9" t="s">
        <v>507</v>
      </c>
      <c r="C183" s="9">
        <v>23</v>
      </c>
      <c r="D183" s="9" t="s">
        <v>636</v>
      </c>
      <c r="E183" s="9" t="s">
        <v>547</v>
      </c>
      <c r="F183" s="9">
        <v>-237</v>
      </c>
      <c r="G183" s="9" t="s">
        <v>334</v>
      </c>
      <c r="H183" s="9"/>
      <c r="I183" s="8"/>
      <c r="J183" s="8"/>
      <c r="K183" s="8"/>
      <c r="L183" s="8"/>
    </row>
    <row r="184" spans="1:12" ht="21" customHeight="1" x14ac:dyDescent="0.25">
      <c r="A184" s="6" t="s">
        <v>637</v>
      </c>
      <c r="B184" s="9" t="s">
        <v>629</v>
      </c>
      <c r="C184" s="9">
        <v>17</v>
      </c>
      <c r="D184" s="9" t="s">
        <v>636</v>
      </c>
      <c r="E184" s="9" t="s">
        <v>611</v>
      </c>
      <c r="F184" s="9">
        <v>-98</v>
      </c>
      <c r="G184" s="9" t="s">
        <v>334</v>
      </c>
      <c r="H184" s="9"/>
      <c r="I184" s="8"/>
      <c r="J184" s="8"/>
      <c r="K184" s="8"/>
      <c r="L184" s="8"/>
    </row>
    <row r="185" spans="1:12" ht="21" customHeight="1" x14ac:dyDescent="0.25">
      <c r="A185" s="6" t="s">
        <v>638</v>
      </c>
      <c r="B185" s="9" t="s">
        <v>629</v>
      </c>
      <c r="C185" s="9">
        <v>17</v>
      </c>
      <c r="D185" s="9" t="s">
        <v>636</v>
      </c>
      <c r="E185" s="9" t="s">
        <v>613</v>
      </c>
      <c r="F185" s="9">
        <v>-93</v>
      </c>
      <c r="G185" s="9" t="s">
        <v>334</v>
      </c>
      <c r="H185" s="9"/>
      <c r="I185" s="8"/>
      <c r="J185" s="8"/>
      <c r="K185" s="8"/>
      <c r="L185" s="8"/>
    </row>
    <row r="186" spans="1:12" ht="21" customHeight="1" x14ac:dyDescent="0.25">
      <c r="A186" s="6" t="s">
        <v>639</v>
      </c>
      <c r="B186" s="9" t="s">
        <v>507</v>
      </c>
      <c r="C186" s="9">
        <v>21</v>
      </c>
      <c r="D186" s="9" t="s">
        <v>640</v>
      </c>
      <c r="E186" s="9" t="s">
        <v>547</v>
      </c>
      <c r="F186" s="9">
        <v>1102</v>
      </c>
      <c r="G186" s="9" t="s">
        <v>334</v>
      </c>
      <c r="H186" s="9"/>
      <c r="I186" s="8"/>
      <c r="J186" s="8"/>
      <c r="K186" s="8"/>
      <c r="L186" s="8"/>
    </row>
    <row r="187" spans="1:12" ht="21" customHeight="1" x14ac:dyDescent="0.25">
      <c r="A187" s="6" t="s">
        <v>641</v>
      </c>
      <c r="B187" s="9" t="s">
        <v>629</v>
      </c>
      <c r="C187" s="9">
        <v>15</v>
      </c>
      <c r="D187" s="9" t="s">
        <v>640</v>
      </c>
      <c r="E187" s="9" t="s">
        <v>611</v>
      </c>
      <c r="F187" s="9">
        <v>316</v>
      </c>
      <c r="G187" s="9" t="s">
        <v>334</v>
      </c>
      <c r="H187" s="9"/>
      <c r="I187" s="8"/>
      <c r="J187" s="8"/>
      <c r="K187" s="8"/>
      <c r="L187" s="8"/>
    </row>
    <row r="188" spans="1:12" ht="21" customHeight="1" x14ac:dyDescent="0.25">
      <c r="A188" s="6" t="s">
        <v>642</v>
      </c>
      <c r="B188" s="9" t="s">
        <v>629</v>
      </c>
      <c r="C188" s="9">
        <v>15</v>
      </c>
      <c r="D188" s="9" t="s">
        <v>640</v>
      </c>
      <c r="E188" s="9" t="s">
        <v>613</v>
      </c>
      <c r="F188" s="9">
        <v>145</v>
      </c>
      <c r="G188" s="9" t="s">
        <v>334</v>
      </c>
      <c r="H188" s="9"/>
      <c r="I188" s="8"/>
      <c r="J188" s="8"/>
      <c r="K188" s="8"/>
      <c r="L188" s="8"/>
    </row>
    <row r="189" spans="1:12" ht="21" customHeight="1" x14ac:dyDescent="0.25">
      <c r="A189" s="6" t="s">
        <v>643</v>
      </c>
      <c r="B189" s="9" t="s">
        <v>507</v>
      </c>
      <c r="C189" s="9">
        <v>27</v>
      </c>
      <c r="D189" s="9" t="s">
        <v>644</v>
      </c>
      <c r="E189" s="9" t="s">
        <v>547</v>
      </c>
      <c r="F189" s="9">
        <v>-227</v>
      </c>
      <c r="G189" s="9" t="s">
        <v>334</v>
      </c>
      <c r="H189" s="9"/>
      <c r="I189" s="8"/>
      <c r="J189" s="8"/>
      <c r="K189" s="8"/>
      <c r="L189" s="8"/>
    </row>
    <row r="190" spans="1:12" ht="21" customHeight="1" x14ac:dyDescent="0.25">
      <c r="A190" s="6" t="s">
        <v>645</v>
      </c>
      <c r="B190" s="9" t="s">
        <v>629</v>
      </c>
      <c r="C190" s="9">
        <v>20</v>
      </c>
      <c r="D190" s="9" t="s">
        <v>644</v>
      </c>
      <c r="E190" s="9" t="s">
        <v>611</v>
      </c>
      <c r="F190" s="9">
        <v>-89</v>
      </c>
      <c r="G190" s="9" t="s">
        <v>334</v>
      </c>
      <c r="H190" s="9"/>
      <c r="I190" s="8"/>
      <c r="J190" s="8"/>
      <c r="K190" s="8"/>
      <c r="L190" s="8"/>
    </row>
    <row r="191" spans="1:12" ht="21" customHeight="1" x14ac:dyDescent="0.25">
      <c r="A191" s="6" t="s">
        <v>646</v>
      </c>
      <c r="B191" s="9" t="s">
        <v>629</v>
      </c>
      <c r="C191" s="9">
        <v>20</v>
      </c>
      <c r="D191" s="9" t="s">
        <v>644</v>
      </c>
      <c r="E191" s="9" t="s">
        <v>613</v>
      </c>
      <c r="F191" s="9">
        <v>-95</v>
      </c>
      <c r="G191" s="9" t="s">
        <v>334</v>
      </c>
      <c r="H191" s="9"/>
      <c r="I191" s="8"/>
      <c r="J191" s="8"/>
      <c r="K191" s="8"/>
      <c r="L191" s="8"/>
    </row>
    <row r="192" spans="1:12" ht="21" customHeight="1" x14ac:dyDescent="0.25">
      <c r="A192" s="6" t="s">
        <v>647</v>
      </c>
      <c r="B192" s="9" t="s">
        <v>507</v>
      </c>
      <c r="C192" s="9">
        <v>35</v>
      </c>
      <c r="D192" s="9" t="s">
        <v>648</v>
      </c>
      <c r="E192" s="9" t="s">
        <v>547</v>
      </c>
      <c r="F192" s="9">
        <v>-599</v>
      </c>
      <c r="G192" s="9" t="s">
        <v>334</v>
      </c>
      <c r="H192" s="9"/>
      <c r="I192" s="8"/>
      <c r="J192" s="8"/>
      <c r="K192" s="8"/>
      <c r="L192" s="8"/>
    </row>
    <row r="193" spans="1:12" ht="21" customHeight="1" x14ac:dyDescent="0.25">
      <c r="A193" s="6" t="s">
        <v>649</v>
      </c>
      <c r="B193" s="9" t="s">
        <v>629</v>
      </c>
      <c r="C193" s="9">
        <v>26</v>
      </c>
      <c r="D193" s="9" t="s">
        <v>648</v>
      </c>
      <c r="E193" s="9" t="s">
        <v>611</v>
      </c>
      <c r="F193" s="9">
        <v>-384</v>
      </c>
      <c r="G193" s="9" t="s">
        <v>334</v>
      </c>
      <c r="H193" s="9"/>
      <c r="I193" s="8"/>
      <c r="J193" s="8"/>
      <c r="K193" s="8"/>
      <c r="L193" s="8"/>
    </row>
    <row r="194" spans="1:12" ht="21" customHeight="1" x14ac:dyDescent="0.25">
      <c r="A194" s="6" t="s">
        <v>650</v>
      </c>
      <c r="B194" s="9" t="s">
        <v>629</v>
      </c>
      <c r="C194" s="9">
        <v>26</v>
      </c>
      <c r="D194" s="9" t="s">
        <v>648</v>
      </c>
      <c r="E194" s="9" t="s">
        <v>613</v>
      </c>
      <c r="F194" s="9">
        <v>-362</v>
      </c>
      <c r="G194" s="9" t="s">
        <v>334</v>
      </c>
      <c r="H194" s="9"/>
      <c r="I194" s="8"/>
      <c r="J194" s="8"/>
      <c r="K194" s="8"/>
      <c r="L194" s="8"/>
    </row>
    <row r="195" spans="1:12" ht="33" customHeight="1" x14ac:dyDescent="0.25">
      <c r="A195" s="6" t="s">
        <v>651</v>
      </c>
      <c r="B195" s="9" t="s">
        <v>480</v>
      </c>
      <c r="C195" s="9">
        <v>12</v>
      </c>
      <c r="D195" s="9" t="s">
        <v>652</v>
      </c>
      <c r="E195" s="9" t="s">
        <v>547</v>
      </c>
      <c r="F195" s="9">
        <v>882</v>
      </c>
      <c r="G195" s="9" t="s">
        <v>334</v>
      </c>
      <c r="H195" s="9"/>
      <c r="I195" s="8"/>
      <c r="J195" s="8"/>
      <c r="K195" s="8"/>
      <c r="L195" s="8"/>
    </row>
    <row r="196" spans="1:12" ht="33" customHeight="1" x14ac:dyDescent="0.25">
      <c r="A196" s="6" t="s">
        <v>653</v>
      </c>
      <c r="B196" s="9" t="s">
        <v>610</v>
      </c>
      <c r="C196" s="9">
        <v>12</v>
      </c>
      <c r="D196" s="9" t="s">
        <v>652</v>
      </c>
      <c r="E196" s="9" t="s">
        <v>611</v>
      </c>
      <c r="F196" s="9">
        <v>330</v>
      </c>
      <c r="G196" s="9" t="s">
        <v>334</v>
      </c>
      <c r="H196" s="9"/>
      <c r="I196" s="8"/>
      <c r="J196" s="8"/>
      <c r="K196" s="8"/>
      <c r="L196" s="8"/>
    </row>
    <row r="197" spans="1:12" ht="33" customHeight="1" x14ac:dyDescent="0.25">
      <c r="A197" s="6" t="s">
        <v>654</v>
      </c>
      <c r="B197" s="9" t="s">
        <v>610</v>
      </c>
      <c r="C197" s="9">
        <v>12</v>
      </c>
      <c r="D197" s="9" t="s">
        <v>652</v>
      </c>
      <c r="E197" s="9" t="s">
        <v>613</v>
      </c>
      <c r="F197" s="9">
        <v>241</v>
      </c>
      <c r="G197" s="9" t="s">
        <v>334</v>
      </c>
      <c r="H197" s="9"/>
      <c r="I197" s="8"/>
      <c r="J197" s="8"/>
      <c r="K197" s="8"/>
      <c r="L197" s="8"/>
    </row>
    <row r="198" spans="1:12" ht="21" customHeight="1" x14ac:dyDescent="0.25">
      <c r="A198" s="6" t="s">
        <v>655</v>
      </c>
      <c r="B198" s="9" t="s">
        <v>480</v>
      </c>
      <c r="C198" s="9">
        <v>6</v>
      </c>
      <c r="D198" s="9" t="s">
        <v>656</v>
      </c>
      <c r="E198" s="9" t="s">
        <v>547</v>
      </c>
      <c r="F198" s="9">
        <v>-4102</v>
      </c>
      <c r="G198" s="9" t="s">
        <v>334</v>
      </c>
      <c r="H198" s="9"/>
      <c r="I198" s="8"/>
      <c r="J198" s="8"/>
      <c r="K198" s="8"/>
      <c r="L198" s="8"/>
    </row>
    <row r="199" spans="1:12" ht="21" customHeight="1" x14ac:dyDescent="0.25">
      <c r="A199" s="6" t="s">
        <v>657</v>
      </c>
      <c r="B199" s="9" t="s">
        <v>610</v>
      </c>
      <c r="C199" s="9">
        <v>6</v>
      </c>
      <c r="D199" s="9" t="s">
        <v>656</v>
      </c>
      <c r="E199" s="9" t="s">
        <v>611</v>
      </c>
      <c r="F199" s="9">
        <v>-1613</v>
      </c>
      <c r="G199" s="9" t="s">
        <v>334</v>
      </c>
      <c r="H199" s="9"/>
      <c r="I199" s="8"/>
      <c r="J199" s="8"/>
      <c r="K199" s="8"/>
      <c r="L199" s="8"/>
    </row>
    <row r="200" spans="1:12" ht="21" customHeight="1" x14ac:dyDescent="0.25">
      <c r="A200" s="6" t="s">
        <v>658</v>
      </c>
      <c r="B200" s="9" t="s">
        <v>610</v>
      </c>
      <c r="C200" s="9">
        <v>6</v>
      </c>
      <c r="D200" s="9" t="s">
        <v>656</v>
      </c>
      <c r="E200" s="9" t="s">
        <v>613</v>
      </c>
      <c r="F200" s="9">
        <v>-1687</v>
      </c>
      <c r="G200" s="9" t="s">
        <v>334</v>
      </c>
      <c r="H200" s="9"/>
      <c r="I200" s="8"/>
      <c r="J200" s="8"/>
      <c r="K200" s="8"/>
      <c r="L200" s="8"/>
    </row>
    <row r="201" spans="1:12" ht="21" customHeight="1" x14ac:dyDescent="0.25">
      <c r="A201" s="6" t="s">
        <v>659</v>
      </c>
      <c r="B201" s="9" t="s">
        <v>480</v>
      </c>
      <c r="C201" s="9">
        <v>8</v>
      </c>
      <c r="D201" s="9" t="s">
        <v>660</v>
      </c>
      <c r="E201" s="9" t="s">
        <v>547</v>
      </c>
      <c r="F201" s="9">
        <v>-2063</v>
      </c>
      <c r="G201" s="9" t="s">
        <v>334</v>
      </c>
      <c r="H201" s="9"/>
      <c r="I201" s="8"/>
      <c r="J201" s="8"/>
      <c r="K201" s="8"/>
      <c r="L201" s="8"/>
    </row>
    <row r="202" spans="1:12" ht="21" customHeight="1" x14ac:dyDescent="0.25">
      <c r="A202" s="6" t="s">
        <v>661</v>
      </c>
      <c r="B202" s="9" t="s">
        <v>610</v>
      </c>
      <c r="C202" s="9">
        <v>8</v>
      </c>
      <c r="D202" s="9" t="s">
        <v>660</v>
      </c>
      <c r="E202" s="9" t="s">
        <v>611</v>
      </c>
      <c r="F202" s="9">
        <v>-832</v>
      </c>
      <c r="G202" s="9" t="s">
        <v>334</v>
      </c>
      <c r="H202" s="9"/>
      <c r="I202" s="8"/>
      <c r="J202" s="8"/>
      <c r="K202" s="8"/>
      <c r="L202" s="8"/>
    </row>
    <row r="203" spans="1:12" ht="21" customHeight="1" x14ac:dyDescent="0.25">
      <c r="A203" s="6" t="s">
        <v>662</v>
      </c>
      <c r="B203" s="9" t="s">
        <v>610</v>
      </c>
      <c r="C203" s="9">
        <v>8</v>
      </c>
      <c r="D203" s="9" t="s">
        <v>660</v>
      </c>
      <c r="E203" s="9" t="s">
        <v>613</v>
      </c>
      <c r="F203" s="9">
        <v>-920</v>
      </c>
      <c r="G203" s="9" t="s">
        <v>334</v>
      </c>
      <c r="H203" s="9"/>
      <c r="I203" s="8"/>
      <c r="J203" s="8"/>
      <c r="K203" s="8"/>
      <c r="L203" s="8"/>
    </row>
    <row r="204" spans="1:12" ht="21" customHeight="1" x14ac:dyDescent="0.25">
      <c r="A204" s="6" t="s">
        <v>663</v>
      </c>
      <c r="B204" s="9" t="s">
        <v>480</v>
      </c>
      <c r="C204" s="9">
        <v>7</v>
      </c>
      <c r="D204" s="9" t="s">
        <v>664</v>
      </c>
      <c r="E204" s="9" t="s">
        <v>547</v>
      </c>
      <c r="F204" s="9">
        <v>3189</v>
      </c>
      <c r="G204" s="9" t="s">
        <v>334</v>
      </c>
      <c r="H204" s="9"/>
      <c r="I204" s="8"/>
      <c r="J204" s="8"/>
      <c r="K204" s="8"/>
      <c r="L204" s="8"/>
    </row>
    <row r="205" spans="1:12" ht="21" customHeight="1" x14ac:dyDescent="0.25">
      <c r="A205" s="6" t="s">
        <v>665</v>
      </c>
      <c r="B205" s="9" t="s">
        <v>610</v>
      </c>
      <c r="C205" s="9">
        <v>7</v>
      </c>
      <c r="D205" s="9" t="s">
        <v>664</v>
      </c>
      <c r="E205" s="9" t="s">
        <v>611</v>
      </c>
      <c r="F205" s="9">
        <v>1279</v>
      </c>
      <c r="G205" s="9" t="s">
        <v>334</v>
      </c>
      <c r="H205" s="9"/>
      <c r="I205" s="8"/>
      <c r="J205" s="8"/>
      <c r="K205" s="8"/>
      <c r="L205" s="8"/>
    </row>
    <row r="206" spans="1:12" ht="21" customHeight="1" x14ac:dyDescent="0.25">
      <c r="A206" s="6" t="s">
        <v>666</v>
      </c>
      <c r="B206" s="9" t="s">
        <v>610</v>
      </c>
      <c r="C206" s="9">
        <v>7</v>
      </c>
      <c r="D206" s="9" t="s">
        <v>664</v>
      </c>
      <c r="E206" s="9" t="s">
        <v>613</v>
      </c>
      <c r="F206" s="9">
        <v>1287</v>
      </c>
      <c r="G206" s="9" t="s">
        <v>334</v>
      </c>
      <c r="H206" s="9"/>
      <c r="I206" s="8"/>
      <c r="J206" s="8"/>
      <c r="K206" s="8"/>
      <c r="L206" s="8"/>
    </row>
    <row r="207" spans="1:12" ht="21" customHeight="1" x14ac:dyDescent="0.25">
      <c r="A207" s="6" t="s">
        <v>667</v>
      </c>
      <c r="B207" s="9" t="s">
        <v>610</v>
      </c>
      <c r="C207" s="9">
        <v>14</v>
      </c>
      <c r="D207" s="9" t="s">
        <v>619</v>
      </c>
      <c r="E207" s="9" t="s">
        <v>668</v>
      </c>
      <c r="F207" s="9">
        <v>118</v>
      </c>
      <c r="G207" s="9" t="s">
        <v>334</v>
      </c>
      <c r="H207" s="9"/>
      <c r="I207" s="8"/>
      <c r="J207" s="8"/>
      <c r="K207" s="8"/>
      <c r="L207" s="8"/>
    </row>
    <row r="208" spans="1:12" ht="21" customHeight="1" x14ac:dyDescent="0.25">
      <c r="A208" s="6" t="s">
        <v>669</v>
      </c>
      <c r="B208" s="9" t="s">
        <v>610</v>
      </c>
      <c r="C208" s="9">
        <v>16</v>
      </c>
      <c r="D208" s="9" t="s">
        <v>670</v>
      </c>
      <c r="E208" s="9" t="s">
        <v>668</v>
      </c>
      <c r="F208" s="9">
        <v>0.57999999999999996</v>
      </c>
      <c r="G208" s="9" t="s">
        <v>671</v>
      </c>
      <c r="H208" s="9"/>
      <c r="I208" s="8"/>
      <c r="J208" s="8"/>
      <c r="K208" s="8"/>
      <c r="L208" s="8"/>
    </row>
    <row r="209" spans="1:12" ht="46.5" customHeight="1" x14ac:dyDescent="0.25">
      <c r="A209" s="6" t="s">
        <v>672</v>
      </c>
      <c r="B209" s="9" t="s">
        <v>673</v>
      </c>
      <c r="C209" s="9"/>
      <c r="D209" s="9" t="s">
        <v>674</v>
      </c>
      <c r="E209" s="9" t="s">
        <v>580</v>
      </c>
      <c r="F209" s="9">
        <v>6210</v>
      </c>
      <c r="G209" s="9" t="s">
        <v>675</v>
      </c>
      <c r="H209" s="9"/>
      <c r="I209" s="8"/>
      <c r="J209" s="8"/>
      <c r="K209" s="8"/>
      <c r="L209" s="8"/>
    </row>
    <row r="210" spans="1:12" ht="73.5" customHeight="1" x14ac:dyDescent="0.25">
      <c r="A210" s="6" t="s">
        <v>676</v>
      </c>
      <c r="B210" s="9" t="s">
        <v>677</v>
      </c>
      <c r="C210" s="9"/>
      <c r="D210" s="9" t="s">
        <v>678</v>
      </c>
      <c r="E210" s="9" t="s">
        <v>580</v>
      </c>
      <c r="F210" s="9">
        <v>2</v>
      </c>
      <c r="G210" s="9" t="s">
        <v>675</v>
      </c>
      <c r="H210" s="9"/>
      <c r="I210" s="8"/>
      <c r="J210" s="8"/>
      <c r="K210" s="8"/>
      <c r="L210" s="8"/>
    </row>
    <row r="211" spans="1:12" ht="33" customHeight="1" x14ac:dyDescent="0.25">
      <c r="A211" s="6" t="s">
        <v>679</v>
      </c>
      <c r="B211" s="9" t="s">
        <v>680</v>
      </c>
      <c r="C211" s="9"/>
      <c r="D211" s="9" t="s">
        <v>681</v>
      </c>
      <c r="E211" s="9" t="s">
        <v>580</v>
      </c>
      <c r="F211" s="9">
        <v>0</v>
      </c>
      <c r="G211" s="9" t="s">
        <v>675</v>
      </c>
      <c r="H211" s="9"/>
      <c r="I211" s="8"/>
      <c r="J211" s="8"/>
      <c r="K211" s="8"/>
      <c r="L211" s="8"/>
    </row>
    <row r="212" spans="1:12" ht="33" customHeight="1" x14ac:dyDescent="0.25">
      <c r="A212" s="6" t="s">
        <v>682</v>
      </c>
      <c r="B212" s="9" t="s">
        <v>680</v>
      </c>
      <c r="C212" s="9"/>
      <c r="D212" s="9" t="s">
        <v>683</v>
      </c>
      <c r="E212" s="9" t="s">
        <v>580</v>
      </c>
      <c r="F212" s="9">
        <v>0</v>
      </c>
      <c r="G212" s="9" t="s">
        <v>675</v>
      </c>
      <c r="H212" s="9"/>
      <c r="I212" s="8"/>
      <c r="J212" s="8"/>
      <c r="K212" s="8"/>
      <c r="L212" s="8"/>
    </row>
    <row r="213" spans="1:12" ht="33" customHeight="1" x14ac:dyDescent="0.25">
      <c r="A213" s="6" t="s">
        <v>684</v>
      </c>
      <c r="B213" s="9" t="s">
        <v>680</v>
      </c>
      <c r="C213" s="9"/>
      <c r="D213" s="9" t="s">
        <v>685</v>
      </c>
      <c r="E213" s="9" t="s">
        <v>580</v>
      </c>
      <c r="F213" s="9">
        <v>0</v>
      </c>
      <c r="G213" s="9" t="s">
        <v>675</v>
      </c>
      <c r="H213" s="9"/>
      <c r="I213" s="8"/>
      <c r="J213" s="8"/>
      <c r="K213" s="8"/>
      <c r="L213" s="8"/>
    </row>
    <row r="214" spans="1:12" ht="33" customHeight="1" x14ac:dyDescent="0.25">
      <c r="A214" s="6" t="s">
        <v>686</v>
      </c>
      <c r="B214" s="9" t="s">
        <v>680</v>
      </c>
      <c r="C214" s="9"/>
      <c r="D214" s="9" t="s">
        <v>687</v>
      </c>
      <c r="E214" s="9" t="s">
        <v>580</v>
      </c>
      <c r="F214" s="9">
        <v>3366</v>
      </c>
      <c r="G214" s="9" t="s">
        <v>675</v>
      </c>
      <c r="H214" s="9"/>
      <c r="I214" s="8"/>
      <c r="J214" s="8"/>
      <c r="K214" s="8"/>
      <c r="L214" s="8"/>
    </row>
    <row r="215" spans="1:12" ht="33" customHeight="1" x14ac:dyDescent="0.25">
      <c r="A215" s="6" t="s">
        <v>688</v>
      </c>
      <c r="B215" s="9" t="s">
        <v>680</v>
      </c>
      <c r="C215" s="9"/>
      <c r="D215" s="9" t="s">
        <v>689</v>
      </c>
      <c r="E215" s="9" t="s">
        <v>580</v>
      </c>
      <c r="F215" s="9">
        <v>0</v>
      </c>
      <c r="G215" s="9" t="s">
        <v>675</v>
      </c>
      <c r="H215" s="9"/>
      <c r="I215" s="8"/>
      <c r="J215" s="8"/>
      <c r="K215" s="8"/>
      <c r="L215" s="8"/>
    </row>
    <row r="216" spans="1:12" ht="33" customHeight="1" x14ac:dyDescent="0.25">
      <c r="A216" s="6" t="s">
        <v>690</v>
      </c>
      <c r="B216" s="9" t="s">
        <v>691</v>
      </c>
      <c r="C216" s="9"/>
      <c r="D216" s="9" t="s">
        <v>692</v>
      </c>
      <c r="E216" s="9" t="s">
        <v>580</v>
      </c>
      <c r="F216" s="9">
        <v>1256</v>
      </c>
      <c r="G216" s="9" t="s">
        <v>675</v>
      </c>
      <c r="H216" s="9"/>
      <c r="I216" s="8"/>
      <c r="J216" s="8"/>
      <c r="K216" s="8"/>
      <c r="L216" s="8"/>
    </row>
    <row r="217" spans="1:12" ht="33" customHeight="1" x14ac:dyDescent="0.25">
      <c r="A217" s="6" t="s">
        <v>693</v>
      </c>
      <c r="B217" s="9" t="s">
        <v>694</v>
      </c>
      <c r="C217" s="9"/>
      <c r="D217" s="9" t="s">
        <v>695</v>
      </c>
      <c r="E217" s="9" t="s">
        <v>580</v>
      </c>
      <c r="F217" s="9">
        <v>2000</v>
      </c>
      <c r="G217" s="9" t="s">
        <v>675</v>
      </c>
      <c r="H217" s="9"/>
      <c r="I217" s="8"/>
      <c r="J217" s="8"/>
      <c r="K217" s="8"/>
      <c r="L217" s="8"/>
    </row>
    <row r="218" spans="1:12" ht="33" customHeight="1" x14ac:dyDescent="0.25">
      <c r="A218" s="6" t="s">
        <v>696</v>
      </c>
      <c r="B218" s="9" t="s">
        <v>697</v>
      </c>
      <c r="C218" s="9"/>
      <c r="D218" s="9" t="s">
        <v>698</v>
      </c>
      <c r="E218" s="9" t="s">
        <v>580</v>
      </c>
      <c r="F218" s="9">
        <v>1459</v>
      </c>
      <c r="G218" s="9" t="s">
        <v>675</v>
      </c>
      <c r="H218" s="9"/>
      <c r="I218" s="8"/>
      <c r="J218" s="8"/>
      <c r="K218" s="8"/>
      <c r="L218" s="8"/>
    </row>
    <row r="219" spans="1:12" ht="33" customHeight="1" x14ac:dyDescent="0.25">
      <c r="A219" s="6" t="s">
        <v>699</v>
      </c>
      <c r="B219" s="9" t="s">
        <v>700</v>
      </c>
      <c r="C219" s="9"/>
      <c r="D219" s="9" t="s">
        <v>701</v>
      </c>
      <c r="E219" s="9" t="s">
        <v>580</v>
      </c>
      <c r="F219" s="9">
        <v>1137</v>
      </c>
      <c r="G219" s="9" t="s">
        <v>675</v>
      </c>
      <c r="H219" s="9"/>
      <c r="I219" s="8"/>
      <c r="J219" s="8"/>
      <c r="K219" s="8"/>
      <c r="L219" s="8"/>
    </row>
    <row r="220" spans="1:12" ht="46.5" customHeight="1" x14ac:dyDescent="0.25">
      <c r="A220" s="6" t="s">
        <v>702</v>
      </c>
      <c r="B220" s="9" t="s">
        <v>703</v>
      </c>
      <c r="C220" s="9"/>
      <c r="D220" s="9" t="s">
        <v>704</v>
      </c>
      <c r="E220" s="9" t="s">
        <v>580</v>
      </c>
      <c r="F220" s="9">
        <v>190</v>
      </c>
      <c r="G220" s="9" t="s">
        <v>675</v>
      </c>
      <c r="H220" s="9"/>
      <c r="I220" s="8"/>
      <c r="J220" s="8"/>
      <c r="K220" s="8"/>
      <c r="L220" s="8"/>
    </row>
    <row r="221" spans="1:12" ht="154.5" customHeight="1" x14ac:dyDescent="0.25">
      <c r="A221" s="6" t="s">
        <v>705</v>
      </c>
      <c r="B221" s="9" t="s">
        <v>706</v>
      </c>
      <c r="C221" s="9"/>
      <c r="D221" s="9" t="s">
        <v>707</v>
      </c>
      <c r="E221" s="9" t="s">
        <v>580</v>
      </c>
      <c r="F221" s="9">
        <v>6003</v>
      </c>
      <c r="G221" s="9" t="s">
        <v>675</v>
      </c>
      <c r="H221" s="9"/>
      <c r="I221" s="8"/>
      <c r="J221" s="8"/>
      <c r="K221" s="8"/>
      <c r="L221" s="8"/>
    </row>
    <row r="222" spans="1:12" ht="33" customHeight="1" x14ac:dyDescent="0.25">
      <c r="A222" s="6" t="s">
        <v>708</v>
      </c>
      <c r="B222" s="9" t="s">
        <v>709</v>
      </c>
      <c r="C222" s="9"/>
      <c r="D222" s="9" t="s">
        <v>710</v>
      </c>
      <c r="E222" s="9" t="s">
        <v>580</v>
      </c>
      <c r="F222" s="9">
        <v>0.19567456230690011</v>
      </c>
      <c r="G222" s="9" t="s">
        <v>711</v>
      </c>
      <c r="H222" s="9"/>
      <c r="I222" s="8"/>
      <c r="J222" s="8"/>
      <c r="K222" s="8"/>
      <c r="L222" s="8"/>
    </row>
    <row r="223" spans="1:12" ht="46.5" customHeight="1" x14ac:dyDescent="0.25">
      <c r="A223" s="6" t="s">
        <v>712</v>
      </c>
      <c r="B223" s="9" t="s">
        <v>713</v>
      </c>
      <c r="C223" s="9"/>
      <c r="D223" s="9" t="s">
        <v>714</v>
      </c>
      <c r="E223" s="9" t="s">
        <v>580</v>
      </c>
      <c r="F223" s="9"/>
      <c r="G223" s="9" t="s">
        <v>675</v>
      </c>
      <c r="H223" s="9"/>
      <c r="I223" s="8"/>
      <c r="J223" s="8"/>
      <c r="K223" s="8"/>
      <c r="L223" s="8"/>
    </row>
    <row r="224" spans="1:12" ht="33" customHeight="1" x14ac:dyDescent="0.25">
      <c r="A224" s="6" t="s">
        <v>715</v>
      </c>
      <c r="B224" s="9" t="s">
        <v>716</v>
      </c>
      <c r="C224" s="9"/>
      <c r="D224" s="9" t="s">
        <v>230</v>
      </c>
      <c r="E224" s="9" t="s">
        <v>580</v>
      </c>
      <c r="F224" s="9">
        <v>203.44827586206901</v>
      </c>
      <c r="G224" s="9" t="s">
        <v>717</v>
      </c>
      <c r="H224" s="9"/>
      <c r="I224" s="8"/>
      <c r="J224" s="8"/>
      <c r="K224" s="8"/>
      <c r="L224" s="8"/>
    </row>
    <row r="225" spans="1:12" ht="33" customHeight="1" x14ac:dyDescent="0.25">
      <c r="A225" s="6" t="s">
        <v>718</v>
      </c>
      <c r="B225" s="9" t="s">
        <v>719</v>
      </c>
      <c r="C225" s="9"/>
      <c r="D225" s="9" t="s">
        <v>313</v>
      </c>
      <c r="E225" s="9" t="s">
        <v>404</v>
      </c>
      <c r="F225" s="9">
        <v>5873</v>
      </c>
      <c r="G225" s="9" t="s">
        <v>720</v>
      </c>
      <c r="H225" s="9"/>
      <c r="I225" s="8"/>
      <c r="J225" s="8"/>
      <c r="K225" s="8"/>
      <c r="L225" s="8"/>
    </row>
    <row r="226" spans="1:12" ht="60" customHeight="1" x14ac:dyDescent="0.25">
      <c r="A226" s="6" t="s">
        <v>718</v>
      </c>
      <c r="B226" s="9" t="s">
        <v>721</v>
      </c>
      <c r="C226" s="9"/>
      <c r="D226" s="9" t="s">
        <v>314</v>
      </c>
      <c r="E226" s="9" t="s">
        <v>404</v>
      </c>
      <c r="F226" s="9">
        <v>1030</v>
      </c>
      <c r="G226" s="9" t="s">
        <v>720</v>
      </c>
      <c r="H226" s="9"/>
      <c r="I226" s="8"/>
      <c r="J226" s="8"/>
      <c r="K226" s="8"/>
      <c r="L226" s="8"/>
    </row>
    <row r="227" spans="1:12" ht="60" customHeight="1" x14ac:dyDescent="0.25">
      <c r="A227" s="6" t="s">
        <v>718</v>
      </c>
      <c r="B227" s="9" t="s">
        <v>722</v>
      </c>
      <c r="C227" s="9"/>
      <c r="D227" s="9" t="s">
        <v>315</v>
      </c>
      <c r="E227" s="9" t="s">
        <v>404</v>
      </c>
      <c r="F227" s="9">
        <v>1290</v>
      </c>
      <c r="G227" s="9" t="s">
        <v>720</v>
      </c>
      <c r="H227" s="9"/>
      <c r="I227" s="8"/>
      <c r="J227" s="8"/>
      <c r="K227" s="8"/>
      <c r="L227" s="8"/>
    </row>
    <row r="228" spans="1:12" ht="46.5" customHeight="1" x14ac:dyDescent="0.25">
      <c r="A228" s="6" t="s">
        <v>718</v>
      </c>
      <c r="B228" s="9" t="s">
        <v>723</v>
      </c>
      <c r="C228" s="9"/>
      <c r="D228" s="9" t="s">
        <v>316</v>
      </c>
      <c r="E228" s="9" t="s">
        <v>404</v>
      </c>
      <c r="F228" s="9">
        <v>348</v>
      </c>
      <c r="G228" s="9" t="s">
        <v>720</v>
      </c>
      <c r="H228" s="9"/>
      <c r="I228" s="8"/>
      <c r="J228" s="8"/>
      <c r="K228" s="8"/>
      <c r="L228" s="8"/>
    </row>
    <row r="229" spans="1:12" ht="33" customHeight="1" x14ac:dyDescent="0.25">
      <c r="A229" s="6" t="s">
        <v>718</v>
      </c>
      <c r="B229" s="9" t="s">
        <v>719</v>
      </c>
      <c r="C229" s="9"/>
      <c r="D229" s="9" t="s">
        <v>313</v>
      </c>
      <c r="E229" s="9" t="s">
        <v>459</v>
      </c>
      <c r="F229" s="9">
        <v>6184</v>
      </c>
      <c r="G229" s="9" t="s">
        <v>720</v>
      </c>
      <c r="H229" s="9"/>
      <c r="I229" s="8"/>
      <c r="J229" s="8"/>
      <c r="K229" s="8"/>
      <c r="L229" s="8"/>
    </row>
    <row r="230" spans="1:12" ht="60" customHeight="1" x14ac:dyDescent="0.25">
      <c r="A230" s="6" t="s">
        <v>718</v>
      </c>
      <c r="B230" s="9" t="s">
        <v>721</v>
      </c>
      <c r="C230" s="9"/>
      <c r="D230" s="9" t="s">
        <v>314</v>
      </c>
      <c r="E230" s="9" t="s">
        <v>459</v>
      </c>
      <c r="F230" s="9">
        <v>1034</v>
      </c>
      <c r="G230" s="9" t="s">
        <v>720</v>
      </c>
      <c r="H230" s="9"/>
      <c r="I230" s="8"/>
      <c r="J230" s="8"/>
      <c r="K230" s="8"/>
      <c r="L230" s="8"/>
    </row>
    <row r="231" spans="1:12" ht="60" customHeight="1" x14ac:dyDescent="0.25">
      <c r="A231" s="6" t="s">
        <v>718</v>
      </c>
      <c r="B231" s="9" t="s">
        <v>722</v>
      </c>
      <c r="C231" s="9"/>
      <c r="D231" s="9" t="s">
        <v>315</v>
      </c>
      <c r="E231" s="9" t="s">
        <v>459</v>
      </c>
      <c r="F231" s="9">
        <v>1379</v>
      </c>
      <c r="G231" s="9" t="s">
        <v>720</v>
      </c>
      <c r="H231" s="9"/>
      <c r="I231" s="8"/>
      <c r="J231" s="8"/>
      <c r="K231" s="8"/>
      <c r="L231" s="8"/>
    </row>
    <row r="232" spans="1:12" ht="46.5" customHeight="1" x14ac:dyDescent="0.25">
      <c r="A232" s="6" t="s">
        <v>718</v>
      </c>
      <c r="B232" s="9" t="s">
        <v>723</v>
      </c>
      <c r="C232" s="9"/>
      <c r="D232" s="9" t="s">
        <v>316</v>
      </c>
      <c r="E232" s="9" t="s">
        <v>459</v>
      </c>
      <c r="F232" s="9">
        <v>251</v>
      </c>
      <c r="G232" s="9" t="s">
        <v>720</v>
      </c>
      <c r="H232" s="9"/>
      <c r="I232" s="8"/>
      <c r="J232" s="8"/>
      <c r="K232" s="8"/>
      <c r="L232" s="8"/>
    </row>
    <row r="233" spans="1:12" ht="33" customHeight="1" x14ac:dyDescent="0.25">
      <c r="A233" s="6" t="s">
        <v>718</v>
      </c>
      <c r="B233" s="9" t="s">
        <v>719</v>
      </c>
      <c r="C233" s="9"/>
      <c r="D233" s="9" t="s">
        <v>313</v>
      </c>
      <c r="E233" s="9" t="s">
        <v>493</v>
      </c>
      <c r="F233" s="9">
        <v>6144</v>
      </c>
      <c r="G233" s="9" t="s">
        <v>720</v>
      </c>
      <c r="H233" s="9"/>
      <c r="I233" s="8"/>
      <c r="J233" s="8"/>
      <c r="K233" s="8"/>
      <c r="L233" s="8"/>
    </row>
    <row r="234" spans="1:12" ht="60" customHeight="1" x14ac:dyDescent="0.25">
      <c r="A234" s="6" t="s">
        <v>718</v>
      </c>
      <c r="B234" s="9" t="s">
        <v>721</v>
      </c>
      <c r="C234" s="9"/>
      <c r="D234" s="9" t="s">
        <v>314</v>
      </c>
      <c r="E234" s="9" t="s">
        <v>493</v>
      </c>
      <c r="F234" s="9">
        <v>1031</v>
      </c>
      <c r="G234" s="9" t="s">
        <v>720</v>
      </c>
      <c r="H234" s="9"/>
      <c r="I234" s="8"/>
      <c r="J234" s="8"/>
      <c r="K234" s="8"/>
      <c r="L234" s="8"/>
    </row>
    <row r="235" spans="1:12" ht="60" customHeight="1" x14ac:dyDescent="0.25">
      <c r="A235" s="6" t="s">
        <v>718</v>
      </c>
      <c r="B235" s="9" t="s">
        <v>722</v>
      </c>
      <c r="C235" s="9"/>
      <c r="D235" s="9" t="s">
        <v>315</v>
      </c>
      <c r="E235" s="9" t="s">
        <v>493</v>
      </c>
      <c r="F235" s="9">
        <v>1289</v>
      </c>
      <c r="G235" s="9" t="s">
        <v>720</v>
      </c>
      <c r="H235" s="9"/>
      <c r="I235" s="8"/>
      <c r="J235" s="8"/>
      <c r="K235" s="8"/>
      <c r="L235" s="8"/>
    </row>
    <row r="236" spans="1:12" ht="46.5" customHeight="1" x14ac:dyDescent="0.25">
      <c r="A236" s="6" t="s">
        <v>718</v>
      </c>
      <c r="B236" s="9" t="s">
        <v>723</v>
      </c>
      <c r="C236" s="9"/>
      <c r="D236" s="9" t="s">
        <v>316</v>
      </c>
      <c r="E236" s="9" t="s">
        <v>493</v>
      </c>
      <c r="F236" s="9">
        <v>143</v>
      </c>
      <c r="G236" s="9" t="s">
        <v>720</v>
      </c>
      <c r="H236" s="9"/>
      <c r="I236" s="8"/>
      <c r="J236" s="8"/>
      <c r="K236" s="8"/>
      <c r="L236" s="8"/>
    </row>
    <row r="237" spans="1:12" ht="33" customHeight="1" x14ac:dyDescent="0.25">
      <c r="A237" s="6" t="s">
        <v>718</v>
      </c>
      <c r="B237" s="9" t="s">
        <v>719</v>
      </c>
      <c r="C237" s="9"/>
      <c r="D237" s="9" t="s">
        <v>313</v>
      </c>
      <c r="E237" s="9" t="s">
        <v>525</v>
      </c>
      <c r="F237" s="9">
        <v>6041</v>
      </c>
      <c r="G237" s="9" t="s">
        <v>720</v>
      </c>
      <c r="H237" s="9"/>
      <c r="I237" s="8"/>
      <c r="J237" s="8"/>
      <c r="K237" s="8"/>
      <c r="L237" s="8"/>
    </row>
    <row r="238" spans="1:12" ht="60" customHeight="1" x14ac:dyDescent="0.25">
      <c r="A238" s="6" t="s">
        <v>718</v>
      </c>
      <c r="B238" s="9" t="s">
        <v>721</v>
      </c>
      <c r="C238" s="9"/>
      <c r="D238" s="9" t="s">
        <v>314</v>
      </c>
      <c r="E238" s="9" t="s">
        <v>525</v>
      </c>
      <c r="F238" s="9">
        <v>1149</v>
      </c>
      <c r="G238" s="9" t="s">
        <v>720</v>
      </c>
      <c r="H238" s="9"/>
      <c r="I238" s="8"/>
      <c r="J238" s="8"/>
      <c r="K238" s="8"/>
      <c r="L238" s="8"/>
    </row>
    <row r="239" spans="1:12" ht="60" customHeight="1" x14ac:dyDescent="0.25">
      <c r="A239" s="6" t="s">
        <v>718</v>
      </c>
      <c r="B239" s="9" t="s">
        <v>722</v>
      </c>
      <c r="C239" s="9"/>
      <c r="D239" s="9" t="s">
        <v>315</v>
      </c>
      <c r="E239" s="9" t="s">
        <v>525</v>
      </c>
      <c r="F239" s="9">
        <v>1231</v>
      </c>
      <c r="G239" s="9" t="s">
        <v>720</v>
      </c>
      <c r="H239" s="9"/>
      <c r="I239" s="8"/>
      <c r="J239" s="8"/>
      <c r="K239" s="8"/>
      <c r="L239" s="8"/>
    </row>
    <row r="240" spans="1:12" ht="46.5" customHeight="1" x14ac:dyDescent="0.25">
      <c r="A240" s="6" t="s">
        <v>718</v>
      </c>
      <c r="B240" s="9" t="s">
        <v>723</v>
      </c>
      <c r="C240" s="9"/>
      <c r="D240" s="9" t="s">
        <v>316</v>
      </c>
      <c r="E240" s="9" t="s">
        <v>525</v>
      </c>
      <c r="F240" s="9">
        <v>230</v>
      </c>
      <c r="G240" s="9" t="s">
        <v>720</v>
      </c>
      <c r="H240" s="9"/>
      <c r="I240" s="8"/>
      <c r="J240" s="8"/>
      <c r="K240" s="8"/>
      <c r="L240" s="8"/>
    </row>
    <row r="241" spans="1:12" ht="33" customHeight="1" x14ac:dyDescent="0.25">
      <c r="A241" s="6" t="s">
        <v>718</v>
      </c>
      <c r="B241" s="9" t="s">
        <v>719</v>
      </c>
      <c r="C241" s="9"/>
      <c r="D241" s="9" t="s">
        <v>313</v>
      </c>
      <c r="E241" s="9" t="s">
        <v>557</v>
      </c>
      <c r="F241" s="9">
        <v>6165</v>
      </c>
      <c r="G241" s="9" t="s">
        <v>720</v>
      </c>
      <c r="H241" s="9"/>
      <c r="I241" s="8"/>
      <c r="J241" s="8"/>
      <c r="K241" s="8"/>
      <c r="L241" s="8"/>
    </row>
    <row r="242" spans="1:12" ht="60" customHeight="1" x14ac:dyDescent="0.25">
      <c r="A242" s="6" t="s">
        <v>718</v>
      </c>
      <c r="B242" s="9" t="s">
        <v>721</v>
      </c>
      <c r="C242" s="9"/>
      <c r="D242" s="9" t="s">
        <v>314</v>
      </c>
      <c r="E242" s="9" t="s">
        <v>557</v>
      </c>
      <c r="F242" s="9">
        <v>1066</v>
      </c>
      <c r="G242" s="9" t="s">
        <v>720</v>
      </c>
      <c r="H242" s="9"/>
      <c r="I242" s="8"/>
      <c r="J242" s="8"/>
      <c r="K242" s="8"/>
      <c r="L242" s="8"/>
    </row>
    <row r="243" spans="1:12" ht="60" customHeight="1" x14ac:dyDescent="0.25">
      <c r="A243" s="6" t="s">
        <v>718</v>
      </c>
      <c r="B243" s="9" t="s">
        <v>722</v>
      </c>
      <c r="C243" s="9"/>
      <c r="D243" s="9" t="s">
        <v>315</v>
      </c>
      <c r="E243" s="9" t="s">
        <v>557</v>
      </c>
      <c r="F243" s="9">
        <v>1311</v>
      </c>
      <c r="G243" s="9" t="s">
        <v>720</v>
      </c>
      <c r="H243" s="9"/>
      <c r="I243" s="8"/>
      <c r="J243" s="8"/>
      <c r="K243" s="8"/>
      <c r="L243" s="8"/>
    </row>
    <row r="244" spans="1:12" ht="46.5" customHeight="1" x14ac:dyDescent="0.25">
      <c r="A244" s="6" t="s">
        <v>718</v>
      </c>
      <c r="B244" s="9" t="s">
        <v>723</v>
      </c>
      <c r="C244" s="9"/>
      <c r="D244" s="9" t="s">
        <v>316</v>
      </c>
      <c r="E244" s="9" t="s">
        <v>557</v>
      </c>
      <c r="F244" s="9">
        <v>233</v>
      </c>
      <c r="G244" s="9" t="s">
        <v>720</v>
      </c>
      <c r="H244" s="9"/>
      <c r="I244" s="8"/>
      <c r="J244" s="8"/>
      <c r="K244" s="8"/>
      <c r="L244" s="8"/>
    </row>
  </sheetData>
  <mergeCells count="2">
    <mergeCell ref="A2:L2"/>
    <mergeCell ref="A1:L1"/>
  </mergeCells>
  <pageMargins left="0.7" right="0.7" top="0.75" bottom="0.75" header="0.3" footer="0.3"/>
  <pageSetup paperSize="9" scale="4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253</vt:i4>
      </vt:variant>
    </vt:vector>
  </HeadingPairs>
  <TitlesOfParts>
    <vt:vector size="267" baseType="lpstr">
      <vt:lpstr>Review</vt:lpstr>
      <vt:lpstr>Income</vt:lpstr>
      <vt:lpstr>BalanceSheet</vt:lpstr>
      <vt:lpstr>CashFlow</vt:lpstr>
      <vt:lpstr>Assets</vt:lpstr>
      <vt:lpstr>WorkingCapital</vt:lpstr>
      <vt:lpstr>DCF</vt:lpstr>
      <vt:lpstr>Sensitivity</vt:lpstr>
      <vt:lpstr>Inputs</vt:lpstr>
      <vt:lpstr>SavedInputs</vt:lpstr>
      <vt:lpstr>History</vt:lpstr>
      <vt:lpstr>Stub</vt:lpstr>
      <vt:lpstr>Checks</vt:lpstr>
      <vt:lpstr>Evidence</vt:lpstr>
      <vt:lpstr>_smrik_Assets_1</vt:lpstr>
      <vt:lpstr>_smrik_Assets_10</vt:lpstr>
      <vt:lpstr>_smrik_Assets_11</vt:lpstr>
      <vt:lpstr>_smrik_Assets_12</vt:lpstr>
      <vt:lpstr>_smrik_Assets_13</vt:lpstr>
      <vt:lpstr>_smrik_Assets_14</vt:lpstr>
      <vt:lpstr>_smrik_Assets_15</vt:lpstr>
      <vt:lpstr>_smrik_Assets_16</vt:lpstr>
      <vt:lpstr>_smrik_Assets_17</vt:lpstr>
      <vt:lpstr>_smrik_Assets_18</vt:lpstr>
      <vt:lpstr>_smrik_Assets_19</vt:lpstr>
      <vt:lpstr>_smrik_Assets_2</vt:lpstr>
      <vt:lpstr>_smrik_Assets_20</vt:lpstr>
      <vt:lpstr>_smrik_Assets_21</vt:lpstr>
      <vt:lpstr>_smrik_Assets_22</vt:lpstr>
      <vt:lpstr>_smrik_Assets_23</vt:lpstr>
      <vt:lpstr>_smrik_Assets_24</vt:lpstr>
      <vt:lpstr>_smrik_Assets_3</vt:lpstr>
      <vt:lpstr>_smrik_Assets_4</vt:lpstr>
      <vt:lpstr>_smrik_Assets_5</vt:lpstr>
      <vt:lpstr>_smrik_Assets_6</vt:lpstr>
      <vt:lpstr>_smrik_Assets_7</vt:lpstr>
      <vt:lpstr>_smrik_Assets_8</vt:lpstr>
      <vt:lpstr>_smrik_Assets_9</vt:lpstr>
      <vt:lpstr>_smrik_BalanceSheet_1</vt:lpstr>
      <vt:lpstr>_smrik_BalanceSheet_10</vt:lpstr>
      <vt:lpstr>_smrik_BalanceSheet_11</vt:lpstr>
      <vt:lpstr>_smrik_BalanceSheet_12</vt:lpstr>
      <vt:lpstr>_smrik_BalanceSheet_13</vt:lpstr>
      <vt:lpstr>_smrik_BalanceSheet_14</vt:lpstr>
      <vt:lpstr>_smrik_BalanceSheet_15</vt:lpstr>
      <vt:lpstr>_smrik_BalanceSheet_16</vt:lpstr>
      <vt:lpstr>_smrik_BalanceSheet_17</vt:lpstr>
      <vt:lpstr>_smrik_BalanceSheet_18</vt:lpstr>
      <vt:lpstr>_smrik_BalanceSheet_19</vt:lpstr>
      <vt:lpstr>_smrik_BalanceSheet_2</vt:lpstr>
      <vt:lpstr>_smrik_BalanceSheet_20</vt:lpstr>
      <vt:lpstr>_smrik_BalanceSheet_21</vt:lpstr>
      <vt:lpstr>_smrik_BalanceSheet_22</vt:lpstr>
      <vt:lpstr>_smrik_BalanceSheet_23</vt:lpstr>
      <vt:lpstr>_smrik_BalanceSheet_24</vt:lpstr>
      <vt:lpstr>_smrik_BalanceSheet_25</vt:lpstr>
      <vt:lpstr>_smrik_BalanceSheet_26</vt:lpstr>
      <vt:lpstr>_smrik_BalanceSheet_27</vt:lpstr>
      <vt:lpstr>_smrik_BalanceSheet_28</vt:lpstr>
      <vt:lpstr>_smrik_BalanceSheet_29</vt:lpstr>
      <vt:lpstr>_smrik_BalanceSheet_3</vt:lpstr>
      <vt:lpstr>_smrik_BalanceSheet_30</vt:lpstr>
      <vt:lpstr>_smrik_BalanceSheet_31</vt:lpstr>
      <vt:lpstr>_smrik_BalanceSheet_32</vt:lpstr>
      <vt:lpstr>_smrik_BalanceSheet_33</vt:lpstr>
      <vt:lpstr>_smrik_BalanceSheet_34</vt:lpstr>
      <vt:lpstr>_smrik_BalanceSheet_35</vt:lpstr>
      <vt:lpstr>_smrik_BalanceSheet_36</vt:lpstr>
      <vt:lpstr>_smrik_BalanceSheet_37</vt:lpstr>
      <vt:lpstr>_smrik_BalanceSheet_38</vt:lpstr>
      <vt:lpstr>_smrik_BalanceSheet_4</vt:lpstr>
      <vt:lpstr>_smrik_BalanceSheet_5</vt:lpstr>
      <vt:lpstr>_smrik_BalanceSheet_6</vt:lpstr>
      <vt:lpstr>_smrik_BalanceSheet_7</vt:lpstr>
      <vt:lpstr>_smrik_BalanceSheet_8</vt:lpstr>
      <vt:lpstr>_smrik_BalanceSheet_9</vt:lpstr>
      <vt:lpstr>_smrik_CashFlow_1</vt:lpstr>
      <vt:lpstr>_smrik_CashFlow_10</vt:lpstr>
      <vt:lpstr>_smrik_CashFlow_11</vt:lpstr>
      <vt:lpstr>_smrik_CashFlow_12</vt:lpstr>
      <vt:lpstr>_smrik_CashFlow_13</vt:lpstr>
      <vt:lpstr>_smrik_CashFlow_14</vt:lpstr>
      <vt:lpstr>_smrik_CashFlow_15</vt:lpstr>
      <vt:lpstr>_smrik_CashFlow_16</vt:lpstr>
      <vt:lpstr>_smrik_CashFlow_17</vt:lpstr>
      <vt:lpstr>_smrik_CashFlow_18</vt:lpstr>
      <vt:lpstr>_smrik_CashFlow_19</vt:lpstr>
      <vt:lpstr>_smrik_CashFlow_2</vt:lpstr>
      <vt:lpstr>_smrik_CashFlow_20</vt:lpstr>
      <vt:lpstr>_smrik_CashFlow_21</vt:lpstr>
      <vt:lpstr>_smrik_CashFlow_22</vt:lpstr>
      <vt:lpstr>_smrik_CashFlow_23</vt:lpstr>
      <vt:lpstr>_smrik_CashFlow_24</vt:lpstr>
      <vt:lpstr>_smrik_CashFlow_25</vt:lpstr>
      <vt:lpstr>_smrik_CashFlow_26</vt:lpstr>
      <vt:lpstr>_smrik_CashFlow_27</vt:lpstr>
      <vt:lpstr>_smrik_CashFlow_28</vt:lpstr>
      <vt:lpstr>_smrik_CashFlow_29</vt:lpstr>
      <vt:lpstr>_smrik_CashFlow_3</vt:lpstr>
      <vt:lpstr>_smrik_CashFlow_30</vt:lpstr>
      <vt:lpstr>_smrik_CashFlow_31</vt:lpstr>
      <vt:lpstr>_smrik_CashFlow_32</vt:lpstr>
      <vt:lpstr>_smrik_CashFlow_33</vt:lpstr>
      <vt:lpstr>_smrik_CashFlow_34</vt:lpstr>
      <vt:lpstr>_smrik_CashFlow_35</vt:lpstr>
      <vt:lpstr>_smrik_CashFlow_4</vt:lpstr>
      <vt:lpstr>_smrik_CashFlow_5</vt:lpstr>
      <vt:lpstr>_smrik_CashFlow_6</vt:lpstr>
      <vt:lpstr>_smrik_CashFlow_7</vt:lpstr>
      <vt:lpstr>_smrik_CashFlow_8</vt:lpstr>
      <vt:lpstr>_smrik_CashFlow_9</vt:lpstr>
      <vt:lpstr>_smrik_Income_1</vt:lpstr>
      <vt:lpstr>_smrik_Income_10</vt:lpstr>
      <vt:lpstr>_smrik_Income_11</vt:lpstr>
      <vt:lpstr>_smrik_Income_12</vt:lpstr>
      <vt:lpstr>_smrik_Income_13</vt:lpstr>
      <vt:lpstr>_smrik_Income_14</vt:lpstr>
      <vt:lpstr>_smrik_Income_15</vt:lpstr>
      <vt:lpstr>_smrik_Income_16</vt:lpstr>
      <vt:lpstr>_smrik_Income_17</vt:lpstr>
      <vt:lpstr>_smrik_Income_18</vt:lpstr>
      <vt:lpstr>_smrik_Income_19</vt:lpstr>
      <vt:lpstr>_smrik_Income_2</vt:lpstr>
      <vt:lpstr>_smrik_Income_20</vt:lpstr>
      <vt:lpstr>_smrik_Income_21</vt:lpstr>
      <vt:lpstr>_smrik_Income_22</vt:lpstr>
      <vt:lpstr>_smrik_Income_23</vt:lpstr>
      <vt:lpstr>_smrik_Income_24</vt:lpstr>
      <vt:lpstr>_smrik_Income_25</vt:lpstr>
      <vt:lpstr>_smrik_Income_26</vt:lpstr>
      <vt:lpstr>_smrik_Income_27</vt:lpstr>
      <vt:lpstr>_smrik_Income_28</vt:lpstr>
      <vt:lpstr>_smrik_Income_29</vt:lpstr>
      <vt:lpstr>_smrik_Income_3</vt:lpstr>
      <vt:lpstr>_smrik_Income_30</vt:lpstr>
      <vt:lpstr>_smrik_Income_31</vt:lpstr>
      <vt:lpstr>_smrik_Income_32</vt:lpstr>
      <vt:lpstr>_smrik_Income_33</vt:lpstr>
      <vt:lpstr>_smrik_Income_34</vt:lpstr>
      <vt:lpstr>_smrik_Income_35</vt:lpstr>
      <vt:lpstr>_smrik_Income_36</vt:lpstr>
      <vt:lpstr>_smrik_Income_37</vt:lpstr>
      <vt:lpstr>_smrik_Income_38</vt:lpstr>
      <vt:lpstr>_smrik_Income_39</vt:lpstr>
      <vt:lpstr>_smrik_Income_4</vt:lpstr>
      <vt:lpstr>_smrik_Income_40</vt:lpstr>
      <vt:lpstr>_smrik_Income_41</vt:lpstr>
      <vt:lpstr>_smrik_Income_42</vt:lpstr>
      <vt:lpstr>_smrik_Income_43</vt:lpstr>
      <vt:lpstr>_smrik_Income_44</vt:lpstr>
      <vt:lpstr>_smrik_Income_45</vt:lpstr>
      <vt:lpstr>_smrik_Income_46</vt:lpstr>
      <vt:lpstr>_smrik_Income_47</vt:lpstr>
      <vt:lpstr>_smrik_Income_48</vt:lpstr>
      <vt:lpstr>_smrik_Income_49</vt:lpstr>
      <vt:lpstr>_smrik_Income_5</vt:lpstr>
      <vt:lpstr>_smrik_Income_50</vt:lpstr>
      <vt:lpstr>_smrik_Income_51</vt:lpstr>
      <vt:lpstr>_smrik_Income_52</vt:lpstr>
      <vt:lpstr>_smrik_Income_53</vt:lpstr>
      <vt:lpstr>_smrik_Income_54</vt:lpstr>
      <vt:lpstr>_smrik_Income_55</vt:lpstr>
      <vt:lpstr>_smrik_Income_56</vt:lpstr>
      <vt:lpstr>_smrik_Income_57</vt:lpstr>
      <vt:lpstr>_smrik_Income_6</vt:lpstr>
      <vt:lpstr>_smrik_Income_7</vt:lpstr>
      <vt:lpstr>_smrik_Income_8</vt:lpstr>
      <vt:lpstr>_smrik_Income_9</vt:lpstr>
      <vt:lpstr>_smrik_Stub_1</vt:lpstr>
      <vt:lpstr>_smrik_Stub_10</vt:lpstr>
      <vt:lpstr>_smrik_Stub_11</vt:lpstr>
      <vt:lpstr>_smrik_Stub_12</vt:lpstr>
      <vt:lpstr>_smrik_Stub_13</vt:lpstr>
      <vt:lpstr>_smrik_Stub_14</vt:lpstr>
      <vt:lpstr>_smrik_Stub_15</vt:lpstr>
      <vt:lpstr>_smrik_Stub_16</vt:lpstr>
      <vt:lpstr>_smrik_Stub_17</vt:lpstr>
      <vt:lpstr>_smrik_Stub_18</vt:lpstr>
      <vt:lpstr>_smrik_Stub_19</vt:lpstr>
      <vt:lpstr>_smrik_Stub_2</vt:lpstr>
      <vt:lpstr>_smrik_Stub_20</vt:lpstr>
      <vt:lpstr>_smrik_Stub_21</vt:lpstr>
      <vt:lpstr>_smrik_Stub_22</vt:lpstr>
      <vt:lpstr>_smrik_Stub_23</vt:lpstr>
      <vt:lpstr>_smrik_Stub_24</vt:lpstr>
      <vt:lpstr>_smrik_Stub_25</vt:lpstr>
      <vt:lpstr>_smrik_Stub_26</vt:lpstr>
      <vt:lpstr>_smrik_Stub_27</vt:lpstr>
      <vt:lpstr>_smrik_Stub_28</vt:lpstr>
      <vt:lpstr>_smrik_Stub_29</vt:lpstr>
      <vt:lpstr>_smrik_Stub_3</vt:lpstr>
      <vt:lpstr>_smrik_Stub_30</vt:lpstr>
      <vt:lpstr>_smrik_Stub_31</vt:lpstr>
      <vt:lpstr>_smrik_Stub_32</vt:lpstr>
      <vt:lpstr>_smrik_Stub_33</vt:lpstr>
      <vt:lpstr>_smrik_Stub_34</vt:lpstr>
      <vt:lpstr>_smrik_Stub_35</vt:lpstr>
      <vt:lpstr>_smrik_Stub_36</vt:lpstr>
      <vt:lpstr>_smrik_Stub_37</vt:lpstr>
      <vt:lpstr>_smrik_Stub_38</vt:lpstr>
      <vt:lpstr>_smrik_Stub_39</vt:lpstr>
      <vt:lpstr>_smrik_Stub_4</vt:lpstr>
      <vt:lpstr>_smrik_Stub_40</vt:lpstr>
      <vt:lpstr>_smrik_Stub_41</vt:lpstr>
      <vt:lpstr>_smrik_Stub_42</vt:lpstr>
      <vt:lpstr>_smrik_Stub_43</vt:lpstr>
      <vt:lpstr>_smrik_Stub_44</vt:lpstr>
      <vt:lpstr>_smrik_Stub_45</vt:lpstr>
      <vt:lpstr>_smrik_Stub_46</vt:lpstr>
      <vt:lpstr>_smrik_Stub_47</vt:lpstr>
      <vt:lpstr>_smrik_Stub_48</vt:lpstr>
      <vt:lpstr>_smrik_Stub_49</vt:lpstr>
      <vt:lpstr>_smrik_Stub_5</vt:lpstr>
      <vt:lpstr>_smrik_Stub_50</vt:lpstr>
      <vt:lpstr>_smrik_Stub_51</vt:lpstr>
      <vt:lpstr>_smrik_Stub_52</vt:lpstr>
      <vt:lpstr>_smrik_Stub_53</vt:lpstr>
      <vt:lpstr>_smrik_Stub_54</vt:lpstr>
      <vt:lpstr>_smrik_Stub_55</vt:lpstr>
      <vt:lpstr>_smrik_Stub_6</vt:lpstr>
      <vt:lpstr>_smrik_Stub_7</vt:lpstr>
      <vt:lpstr>_smrik_Stub_8</vt:lpstr>
      <vt:lpstr>_smrik_Stub_9</vt:lpstr>
      <vt:lpstr>_smrik_WorkingCapital_1</vt:lpstr>
      <vt:lpstr>_smrik_WorkingCapital_10</vt:lpstr>
      <vt:lpstr>_smrik_WorkingCapital_11</vt:lpstr>
      <vt:lpstr>_smrik_WorkingCapital_12</vt:lpstr>
      <vt:lpstr>_smrik_WorkingCapital_13</vt:lpstr>
      <vt:lpstr>_smrik_WorkingCapital_14</vt:lpstr>
      <vt:lpstr>_smrik_WorkingCapital_15</vt:lpstr>
      <vt:lpstr>_smrik_WorkingCapital_16</vt:lpstr>
      <vt:lpstr>_smrik_WorkingCapital_17</vt:lpstr>
      <vt:lpstr>_smrik_WorkingCapital_18</vt:lpstr>
      <vt:lpstr>_smrik_WorkingCapital_19</vt:lpstr>
      <vt:lpstr>_smrik_WorkingCapital_2</vt:lpstr>
      <vt:lpstr>_smrik_WorkingCapital_20</vt:lpstr>
      <vt:lpstr>_smrik_WorkingCapital_21</vt:lpstr>
      <vt:lpstr>_smrik_WorkingCapital_22</vt:lpstr>
      <vt:lpstr>_smrik_WorkingCapital_23</vt:lpstr>
      <vt:lpstr>_smrik_WorkingCapital_24</vt:lpstr>
      <vt:lpstr>_smrik_WorkingCapital_25</vt:lpstr>
      <vt:lpstr>_smrik_WorkingCapital_3</vt:lpstr>
      <vt:lpstr>_smrik_WorkingCapital_4</vt:lpstr>
      <vt:lpstr>_smrik_WorkingCapital_5</vt:lpstr>
      <vt:lpstr>_smrik_WorkingCapital_6</vt:lpstr>
      <vt:lpstr>_smrik_WorkingCapital_7</vt:lpstr>
      <vt:lpstr>_smrik_WorkingCapital_8</vt:lpstr>
      <vt:lpstr>_smrik_WorkingCapital_9</vt:lpstr>
      <vt:lpstr>Assets!Print_Area</vt:lpstr>
      <vt:lpstr>BalanceSheet!Print_Area</vt:lpstr>
      <vt:lpstr>CashFlow!Print_Area</vt:lpstr>
      <vt:lpstr>Income!Print_Area</vt:lpstr>
      <vt:lpstr>WorkingCapital!Print_Area</vt:lpstr>
      <vt:lpstr>Assets!Print_Titles</vt:lpstr>
      <vt:lpstr>BalanceSheet!Print_Titles</vt:lpstr>
      <vt:lpstr>CashFlow!Print_Titles</vt:lpstr>
      <vt:lpstr>Checks!Print_Titles</vt:lpstr>
      <vt:lpstr>DCF!Print_Titles</vt:lpstr>
      <vt:lpstr>Evidence!Print_Titles</vt:lpstr>
      <vt:lpstr>History!Print_Titles</vt:lpstr>
      <vt:lpstr>Income!Print_Titles</vt:lpstr>
      <vt:lpstr>Inputs!Print_Titles</vt:lpstr>
      <vt:lpstr>Review!Print_Titles</vt:lpstr>
      <vt:lpstr>SavedInputs!Print_Titles</vt:lpstr>
      <vt:lpstr>Sensitivity!Print_Titles</vt:lpstr>
      <vt:lpstr>Stub!Print_Titles</vt:lpstr>
      <vt:lpstr>WorkingCapital!Print_Titles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Patrik Šmid</cp:lastModifiedBy>
  <dcterms:created xsi:type="dcterms:W3CDTF">2026-09-19T20:29:22Z</dcterms:created>
  <dcterms:modified xsi:type="dcterms:W3CDTF">2026-09-19T20:32:34Z</dcterms:modified>
</cp:coreProperties>
</file>